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1af880d6f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67a4214aeae4eaf"/>
    <x:sheet xmlns:r="http://schemas.openxmlformats.org/officeDocument/2006/relationships" name="Peru" sheetId="2" r:id="R2a0e8b4ffd4548a8"/>
    <x:sheet xmlns:r="http://schemas.openxmlformats.org/officeDocument/2006/relationships" name="Czech Republic" sheetId="3" r:id="Re9d0c52519f2408f"/>
    <x:sheet xmlns:r="http://schemas.openxmlformats.org/officeDocument/2006/relationships" name="Greece" sheetId="4" r:id="R50e1e3ba0ed54b09"/>
    <x:sheet xmlns:r="http://schemas.openxmlformats.org/officeDocument/2006/relationships" name="Turkey" sheetId="5" r:id="Rec10d5a1038c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1"/>
      <x:color rgb="FF24364B"/>
      <x:name val="Arial"/>
    </x:font>
    <x:font>
      <x:b/>
      <x:sz val="16"/>
      <x:color rgb="FF24364B"/>
      <x:name val="Arial"/>
    </x:font>
    <x:font>
      <x:i/>
      <x:sz val="11"/>
      <x:color rgb="FF5B6875"/>
      <x:name val="Arial"/>
    </x:font>
    <x:font>
      <x:b/>
      <x:sz val="11"/>
      <x:color rgb="FFFFFFFF"/>
      <x:name val="Arial"/>
    </x:font>
    <x:font>
      <x:sz val="11"/>
      <x:color rgb="FF285F8F"/>
      <x:name val="Arial"/>
    </x:font>
    <x:font>
      <x:b/>
      <x:sz val="11"/>
      <x:color rgb="FF24364B"/>
      <x:name val="Arial"/>
    </x:font>
    <x:font>
      <x:i/>
      <x:sz val="11"/>
      <x:color rgb="FF24364B"/>
      <x:name val="Arial"/>
    </x:font>
    <x:font>
      <x:b/>
      <x:sz val="11"/>
      <x:color rgb="FF8A53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FFFFF"/>
      </x:patternFill>
    </x:fill>
    <x:fill>
      <x:patternFill patternType="solid">
        <x:fgColor rgb="FFF1F4F7"/>
      </x:patternFill>
    </x:fill>
  </x:fills>
  <x:borders count="2">
    <x:border/>
    <x:border>
      <x:bottom style="thin">
        <x:color rgb="FFDCE3E9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200" fontId="1" fillId="4" borderId="0" xfId="0" applyNumberFormat="1" applyFont="1" applyFill="1" applyBorder="1" applyAlignment="1">
      <x:alignment horizontal="right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6" fillId="0" borderId="1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8A5300"/>
      </x:font>
      <x:fill>
        <x:patternFill patternType="solid">
          <x:bgColor rgb="FFFFF2D5"/>
        </x:patternFill>
      </x:fill>
    </x:dxf>
    <x:dxf>
      <x:font>
        <x:color rgb="FF8A5300"/>
      </x:font>
      <x:fill>
        <x:patternFill patternType="solid">
          <x:bgColor rgb="FFFFF2D5"/>
        </x:patternFill>
      </x:fill>
    </x:dxf>
    <x:dxf>
      <x:font>
        <x:color rgb="FF8A5300"/>
      </x:font>
      <x:fill>
        <x:patternFill patternType="solid">
          <x:bgColor rgb="FFFFF2D5"/>
        </x:patternFill>
      </x:fill>
    </x:dxf>
    <x:dxf>
      <x:font>
        <x:color rgb="FF8A5300"/>
      </x:font>
      <x:fill>
        <x:patternFill patternType="solid">
          <x:bgColor rgb="FFFFF2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426232be04aba" /><Relationship Type="http://schemas.openxmlformats.org/officeDocument/2006/relationships/theme" Target="/xl/theme/theme1.xml" Id="R63371458a93b425a" /><Relationship Type="http://schemas.openxmlformats.org/officeDocument/2006/relationships/sharedStrings" Target="/xl/sharedStrings.xml" Id="R3e717c3e60084d26" /><Relationship Type="http://schemas.openxmlformats.org/officeDocument/2006/relationships/worksheet" Target="/xl/worksheets/sheet1.xml" Id="Rb67a4214aeae4eaf" /><Relationship Type="http://schemas.openxmlformats.org/officeDocument/2006/relationships/worksheet" Target="/xl/worksheets/sheet2.xml" Id="R2a0e8b4ffd4548a8" /><Relationship Type="http://schemas.openxmlformats.org/officeDocument/2006/relationships/worksheet" Target="/xl/worksheets/sheet3.xml" Id="Re9d0c52519f2408f" /><Relationship Type="http://schemas.openxmlformats.org/officeDocument/2006/relationships/worksheet" Target="/xl/worksheets/sheet4.xml" Id="R50e1e3ba0ed54b09" /><Relationship Type="http://schemas.openxmlformats.org/officeDocument/2006/relationships/worksheet" Target="/xl/worksheets/sheet5.xml" Id="Rec10d5a1038c45e5" /></Relationships>
</file>

<file path=xl/tables/table1.xml><?xml version="1.0" encoding="utf-8"?>
<x:table xmlns:x="http://schemas.openxmlformats.org/spreadsheetml/2006/main" id="1" name="SuppliersPeru" displayName="SuppliersPeru" ref="A5:K35" headerRowCount="1" totalsRowCount="0" totalsRowShown="0">
  <x:tableColumns count="11">
    <x:tableColumn id="1" name="Rank"/>
    <x:tableColumn id="2" name="Supplier"/>
    <x:tableColumn id="3" name="Priority"/>
    <x:tableColumn id="4" name="Supplier type"/>
    <x:tableColumn id="5" name="Location / origin note"/>
    <x:tableColumn id="6" name="Materials"/>
    <x:tableColumn id="7" name="Product / application fit"/>
    <x:tableColumn id="8" name="Public service evidence"/>
    <x:tableColumn id="9" name="Confirm before buying"/>
    <x:tableColumn id="10" name="Public contact route"/>
    <x:tableColumn id="11" name="Websit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uppliersCzechRepublic" displayName="SuppliersCzechRepublic" ref="A5:K35" headerRowCount="1" totalsRowCount="0" totalsRowShown="0">
  <x:tableColumns count="11">
    <x:tableColumn id="1" name="Rank"/>
    <x:tableColumn id="2" name="Supplier"/>
    <x:tableColumn id="3" name="Priority"/>
    <x:tableColumn id="4" name="Supplier type"/>
    <x:tableColumn id="5" name="Location / origin note"/>
    <x:tableColumn id="6" name="Materials"/>
    <x:tableColumn id="7" name="Product / application fit"/>
    <x:tableColumn id="8" name="Public service evidence"/>
    <x:tableColumn id="9" name="Confirm before buying"/>
    <x:tableColumn id="10" name="Public contact route"/>
    <x:tableColumn id="11" name="Websit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uppliersGreece" displayName="SuppliersGreece" ref="A5:K35" headerRowCount="1" totalsRowCount="0" totalsRowShown="0">
  <x:tableColumns count="11">
    <x:tableColumn id="1" name="Rank"/>
    <x:tableColumn id="2" name="Supplier"/>
    <x:tableColumn id="3" name="Priority"/>
    <x:tableColumn id="4" name="Supplier type"/>
    <x:tableColumn id="5" name="Location / origin note"/>
    <x:tableColumn id="6" name="Materials"/>
    <x:tableColumn id="7" name="Product / application fit"/>
    <x:tableColumn id="8" name="Public service evidence"/>
    <x:tableColumn id="9" name="Confirm before buying"/>
    <x:tableColumn id="10" name="Public contact route"/>
    <x:tableColumn id="11" name="Websit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SuppliersTurkey" displayName="SuppliersTurkey" ref="A5:K35" headerRowCount="1" totalsRowCount="0" totalsRowShown="0">
  <x:tableColumns count="11">
    <x:tableColumn id="1" name="Rank"/>
    <x:tableColumn id="2" name="Supplier"/>
    <x:tableColumn id="3" name="Priority"/>
    <x:tableColumn id="4" name="Supplier type"/>
    <x:tableColumn id="5" name="Location / origin note"/>
    <x:tableColumn id="6" name="Materials"/>
    <x:tableColumn id="7" name="Product / application fit"/>
    <x:tableColumn id="8" name="Public service evidence"/>
    <x:tableColumn id="9" name="Confirm before buying"/>
    <x:tableColumn id="10" name="Public contact route"/>
    <x:tableColumn id="11" name="Websit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100fb59ec140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6596553a3848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affa955e2a4a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67cada90b9472c" /></Relationships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5" hidden="0" customWidth="1"/>
    <x:col min="4" max="4" width="24" hidden="0" customWidth="1"/>
    <x:col min="5" max="5" width="25" hidden="0" customWidth="1"/>
    <x:col min="6" max="6" width="16" hidden="0" customWidth="1"/>
    <x:col min="7" max="7" width="16" hidden="0" customWidth="1"/>
    <x:col min="8" max="8" width="17" hidden="0" customWidth="1"/>
    <x:col min="9" max="9" width="2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MineTech supplier shortlist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Research: 23–25 September 2026. 30 candidates per country across the four minerals, not 30 per mineral per country.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6" customHeight="1">
      <x:c r="A5" s="8" t="str">
        <x:v>Country</x:v>
      </x:c>
      <x:c r="B5" s="8" t="str">
        <x:v>Candidates</x:v>
      </x:c>
      <x:c r="C5" s="8" t="str">
        <x:v>A: contact first</x:v>
      </x:c>
      <x:c r="D5" s="8" t="str">
        <x:v>B: qualify</x:v>
      </x:c>
      <x:c r="E5" s="8" t="str">
        <x:v>C: limited fit</x:v>
      </x:c>
      <x:c r="F5" s="8" t="str">
        <x:v>Bentonite</x:v>
      </x:c>
      <x:c r="G5" s="8" t="str">
        <x:v>Kaolin</x:v>
      </x:c>
      <x:c r="H5" s="8" t="str">
        <x:v>Bleaching earth</x:v>
      </x:c>
      <x:c r="I5" s="8" t="str">
        <x:v>Calcium carbonate</x:v>
      </x:c>
    </x:row>
    <x:row r="6" ht="30" customHeight="1">
      <x:c r="A6" s="2" t="str">
        <x:v>Peru</x:v>
      </x:c>
      <x:c r="B6" s="28" t="n">
        <x:f>COUNTA('Peru'!B6:B35)</x:f>
        <x:v>30</x:v>
      </x:c>
      <x:c r="C6" s="28" t="n">
        <x:f>COUNTIFS('Peru'!C6:C35,"A")</x:f>
        <x:v>3</x:v>
      </x:c>
      <x:c r="D6" s="28" t="n">
        <x:f>COUNTIFS('Peru'!C6:C35,"B")</x:f>
        <x:v>20</x:v>
      </x:c>
      <x:c r="E6" s="28" t="n">
        <x:f>COUNTIFS('Peru'!C6:C35,"C")</x:f>
        <x:v>7</x:v>
      </x:c>
      <x:c r="F6" s="28" t="n">
        <x:f>SUM('Peru'!P6:P35)</x:f>
        <x:v>19</x:v>
      </x:c>
      <x:c r="G6" s="28" t="n">
        <x:f>SUM('Peru'!Q6:Q35)</x:f>
        <x:v>7</x:v>
      </x:c>
      <x:c r="H6" s="28" t="n">
        <x:f>SUM('Peru'!R6:R35)</x:f>
        <x:v>1</x:v>
      </x:c>
      <x:c r="I6" s="28" t="n">
        <x:f>SUM('Peru'!S6:S35)</x:f>
        <x:v>19</x:v>
      </x:c>
    </x:row>
    <x:row r="7" ht="30" customHeight="1">
      <x:c r="A7" s="23" t="str">
        <x:v>Czech Republic</x:v>
      </x:c>
      <x:c r="B7" s="29" t="n">
        <x:f>COUNTA('Czech Republic'!B6:B35)</x:f>
        <x:v>30</x:v>
      </x:c>
      <x:c r="C7" s="29" t="n">
        <x:f>COUNTIFS('Czech Republic'!C6:C35,"A")</x:f>
        <x:v>6</x:v>
      </x:c>
      <x:c r="D7" s="29" t="n">
        <x:f>COUNTIFS('Czech Republic'!C6:C35,"B")</x:f>
        <x:v>15</x:v>
      </x:c>
      <x:c r="E7" s="29" t="n">
        <x:f>COUNTIFS('Czech Republic'!C6:C35,"C")</x:f>
        <x:v>9</x:v>
      </x:c>
      <x:c r="F7" s="29" t="n">
        <x:f>SUM('Czech Republic'!P6:P35)</x:f>
        <x:v>10</x:v>
      </x:c>
      <x:c r="G7" s="29" t="n">
        <x:f>SUM('Czech Republic'!Q6:Q35)</x:f>
        <x:v>11</x:v>
      </x:c>
      <x:c r="H7" s="29" t="n">
        <x:f>SUM('Czech Republic'!R6:R35)</x:f>
        <x:v>0</x:v>
      </x:c>
      <x:c r="I7" s="29" t="n">
        <x:f>SUM('Czech Republic'!S6:S35)</x:f>
        <x:v>16</x:v>
      </x:c>
    </x:row>
    <x:row r="8" ht="30" customHeight="1">
      <x:c r="A8" s="2" t="str">
        <x:v>Greece</x:v>
      </x:c>
      <x:c r="B8" s="28" t="n">
        <x:f>COUNTA('Greece'!B6:B35)</x:f>
        <x:v>30</x:v>
      </x:c>
      <x:c r="C8" s="28" t="n">
        <x:f>COUNTIFS('Greece'!C6:C35,"A")</x:f>
        <x:v>5</x:v>
      </x:c>
      <x:c r="D8" s="28" t="n">
        <x:f>COUNTIFS('Greece'!C6:C35,"B")</x:f>
        <x:v>14</x:v>
      </x:c>
      <x:c r="E8" s="28" t="n">
        <x:f>COUNTIFS('Greece'!C6:C35,"C")</x:f>
        <x:v>11</x:v>
      </x:c>
      <x:c r="F8" s="28" t="n">
        <x:f>SUM('Greece'!P6:P35)</x:f>
        <x:v>7</x:v>
      </x:c>
      <x:c r="G8" s="28" t="n">
        <x:f>SUM('Greece'!Q6:Q35)</x:f>
        <x:v>6</x:v>
      </x:c>
      <x:c r="H8" s="28" t="n">
        <x:f>SUM('Greece'!R6:R35)</x:f>
        <x:v>2</x:v>
      </x:c>
      <x:c r="I8" s="28" t="n">
        <x:f>SUM('Greece'!S6:S35)</x:f>
        <x:v>17</x:v>
      </x:c>
    </x:row>
    <x:row r="9" ht="30" customHeight="1">
      <x:c r="A9" s="23" t="str">
        <x:v>Turkey</x:v>
      </x:c>
      <x:c r="B9" s="29" t="n">
        <x:f>COUNTA('Turkey'!B6:B35)</x:f>
        <x:v>30</x:v>
      </x:c>
      <x:c r="C9" s="29" t="n">
        <x:f>COUNTIFS('Turkey'!C6:C35,"A")</x:f>
        <x:v>9</x:v>
      </x:c>
      <x:c r="D9" s="29" t="n">
        <x:f>COUNTIFS('Turkey'!C6:C35,"B")</x:f>
        <x:v>19</x:v>
      </x:c>
      <x:c r="E9" s="29" t="n">
        <x:f>COUNTIFS('Turkey'!C6:C35,"C")</x:f>
        <x:v>2</x:v>
      </x:c>
      <x:c r="F9" s="29" t="n">
        <x:f>SUM('Turkey'!P6:P35)</x:f>
        <x:v>12</x:v>
      </x:c>
      <x:c r="G9" s="29" t="n">
        <x:f>SUM('Turkey'!Q6:Q35)</x:f>
        <x:v>6</x:v>
      </x:c>
      <x:c r="H9" s="29" t="n">
        <x:f>SUM('Turkey'!R6:R35)</x:f>
        <x:v>4</x:v>
      </x:c>
      <x:c r="I9" s="29" t="n">
        <x:f>SUM('Turkey'!S6:S35)</x:f>
        <x:v>12</x:v>
      </x:c>
    </x:row>
    <x:row r="10">
      <x:c r="A10" s="25" t="str">
        <x:v>Country entries total</x:v>
      </x:c>
      <x:c r="B10" s="30" t="n">
        <x:f>SUM(B6:B9)</x:f>
        <x:v>120</x:v>
      </x:c>
      <x:c r="C10" s="30" t="n">
        <x:f>SUM(C6:C9)</x:f>
        <x:v>23</x:v>
      </x:c>
      <x:c r="D10" s="30" t="n">
        <x:f>SUM(D6:D9)</x:f>
        <x:v>68</x:v>
      </x:c>
      <x:c r="E10" s="30" t="n">
        <x:f>SUM(E6:E9)</x:f>
        <x:v>29</x:v>
      </x:c>
      <x:c r="F10" s="30" t="n">
        <x:f>SUM(F6:F9)</x:f>
        <x:v>48</x:v>
      </x:c>
      <x:c r="G10" s="30" t="n">
        <x:f>SUM(G6:G9)</x:f>
        <x:v>30</x:v>
      </x:c>
      <x:c r="H10" s="30" t="n">
        <x:f>SUM(H6:H9)</x:f>
        <x:v>7</x:v>
      </x:c>
      <x:c r="I10" s="30" t="n">
        <x:f>SUM(I6:I9)</x:f>
        <x:v>64</x:v>
      </x:c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</x:row>
    <x:row r="12">
      <x:c r="A12" s="31" t="str">
        <x:v>Material counts overlap. They include limited-fit grades and flagged sourcing routes. Country entries can share a global parent.</x:v>
      </x:c>
      <x:c r="B12" s="2"/>
      <x:c r="C12" s="2"/>
      <x:c r="D12" s="2"/>
      <x:c r="E12" s="2"/>
      <x:c r="F12" s="2"/>
      <x:c r="G12" s="2"/>
      <x:c r="H12" s="2"/>
      <x:c r="I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44" customHeight="1">
      <x:c r="A14" s="8" t="str">
        <x:v>Country</x:v>
      </x:c>
      <x:c r="B14" s="8" t="str">
        <x:v>Bentonite: start with</x:v>
      </x:c>
      <x:c r="C14" s="8" t="str">
        <x:v>Kaolin: start with</x:v>
      </x:c>
      <x:c r="D14" s="8" t="str">
        <x:v>Bleaching earth: start with</x:v>
      </x:c>
      <x:c r="E14" s="8" t="str">
        <x:v>Calcium carbonate: start with</x:v>
      </x:c>
      <x:c r="F14" s="2"/>
      <x:c r="G14" s="2"/>
      <x:c r="H14" s="2"/>
      <x:c r="I14" s="2"/>
    </x:row>
    <x:row r="15" ht="76" customHeight="1">
      <x:c r="A15" s="10" t="str">
        <x:v>Peru</x:v>
      </x:c>
      <x:c r="B15" s="10" t="str">
        <x:v>Minerales Hamon</x:v>
      </x:c>
      <x:c r="C15" s="10" t="str">
        <x:v>COMACSA / Holcim Peru</x:v>
      </x:c>
      <x:c r="D15" s="10" t="str">
        <x:v>Clariant Peru</x:v>
      </x:c>
      <x:c r="E15" s="10" t="str">
        <x:v>COMACSA / Holcim Peru; Mineralium</x:v>
      </x:c>
      <x:c r="F15" s="2"/>
      <x:c r="G15" s="2"/>
      <x:c r="H15" s="2"/>
      <x:c r="I15" s="2"/>
    </x:row>
    <x:row r="16" ht="76" customHeight="1">
      <x:c r="A16" s="10" t="str">
        <x:v>Czech Republic</x:v>
      </x:c>
      <x:c r="B16" s="10" t="str">
        <x:v>KERAMOST
Sedlecký kaolin</x:v>
      </x:c>
      <x:c r="C16" s="10" t="str">
        <x:v>Sedlecký kaolin
LB MINERALS</x:v>
      </x:c>
      <x:c r="D16" s="10" t="str">
        <x:v>No dedicated local producer verified in this review</x:v>
      </x:c>
      <x:c r="E16" s="10" t="str">
        <x:v>Omya; Vitošov</x:v>
      </x:c>
      <x:c r="F16" s="2"/>
      <x:c r="G16" s="2"/>
      <x:c r="H16" s="2"/>
      <x:c r="I16" s="2"/>
    </x:row>
    <x:row r="17" ht="76" customHeight="1">
      <x:c r="A17" s="10" t="str">
        <x:v>Greece</x:v>
      </x:c>
      <x:c r="B17" s="10" t="str">
        <x:v>Imerys; Bentomine</x:v>
      </x:c>
      <x:c r="C17" s="10" t="str">
        <x:v>Prolat; MINERAL
(qualify grades)</x:v>
      </x:c>
      <x:c r="D17" s="10" t="str">
        <x:v>Geohellas; Oilchem</x:v>
      </x:c>
      <x:c r="E17" s="10" t="str">
        <x:v>IOKAL; Omya; Microfill</x:v>
      </x:c>
      <x:c r="F17" s="2"/>
      <x:c r="G17" s="2"/>
      <x:c r="H17" s="2"/>
      <x:c r="I17" s="2"/>
    </x:row>
    <x:row r="18" ht="76" customHeight="1">
      <x:c r="A18" s="10" t="str">
        <x:v>Turkey</x:v>
      </x:c>
      <x:c r="B18" s="10" t="str">
        <x:v>Karakaya; Çanbensan</x:v>
      </x:c>
      <x:c r="C18" s="10" t="str">
        <x:v>Esan; Egemin</x:v>
      </x:c>
      <x:c r="D18" s="10" t="str">
        <x:v>Clariant; NB Global</x:v>
      </x:c>
      <x:c r="E18" s="10" t="str">
        <x:v>Niğtaş; Omya; Mikron’S</x:v>
      </x:c>
      <x:c r="F18" s="2"/>
      <x:c r="G18" s="2"/>
      <x:c r="H18" s="2"/>
      <x:c r="I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</x:row>
    <x:row r="20">
      <x:c r="A20" s="24" t="str">
        <x:v>How to use the rankings</x:v>
      </x:c>
      <x:c r="B20" s="2"/>
      <x:c r="C20" s="2"/>
      <x:c r="D20" s="2"/>
      <x:c r="E20" s="2"/>
      <x:c r="F20" s="2"/>
      <x:c r="G20" s="2"/>
      <x:c r="H20" s="2"/>
      <x:c r="I20" s="2"/>
    </x:row>
    <x:row r="21" ht="25" customHeight="1">
      <x:c r="A21" s="2" t="str">
        <x:v>A = first RFQ shortlist. Stronger public evidence of product fit and industrial supply. Still requires qualification.</x:v>
      </x:c>
      <x:c r="B21" s="2"/>
      <x:c r="C21" s="2"/>
      <x:c r="D21" s="2"/>
      <x:c r="E21" s="2"/>
      <x:c r="F21" s="2"/>
      <x:c r="G21" s="2"/>
      <x:c r="H21" s="2"/>
      <x:c r="I21" s="2"/>
    </x:row>
    <x:row r="22" ht="25" customHeight="1">
      <x:c r="A22" s="2" t="str">
        <x:v>B = worthwhile supplier enquiry. Confirm exact grades, documents, origin and export capability before a trial.</x:v>
      </x:c>
      <x:c r="B22" s="2"/>
      <x:c r="C22" s="2"/>
      <x:c r="D22" s="2"/>
      <x:c r="E22" s="2"/>
      <x:c r="F22" s="2"/>
      <x:c r="G22" s="2"/>
      <x:c r="H22" s="2"/>
      <x:c r="I22" s="2"/>
    </x:row>
    <x:row r="23" ht="25" customHeight="1">
      <x:c r="A23" s="2" t="str">
        <x:v>C = limited-fit or incomplete-evidence route. Includes retailers, niche grades and unconfirmed local availability.</x:v>
      </x:c>
      <x:c r="B23" s="2"/>
      <x:c r="C23" s="2"/>
      <x:c r="D23" s="2"/>
      <x:c r="E23" s="2"/>
      <x:c r="F23" s="2"/>
      <x:c r="G23" s="2"/>
      <x:c r="H23" s="2"/>
      <x:c r="I23" s="2"/>
    </x:row>
    <x:row r="24" ht="25" customHeight="1">
      <x:c r="A24" s="2" t="str">
        <x:v>Ranks are editorial sourcing priorities within each country. Lower rank does not mean dishonest or poor quality.</x:v>
      </x:c>
      <x:c r="B24" s="2"/>
      <x:c r="C24" s="2"/>
      <x:c r="D24" s="2"/>
      <x:c r="E24" s="2"/>
      <x:c r="F24" s="2"/>
      <x:c r="G24" s="2"/>
      <x:c r="H24" s="2"/>
      <x:c r="I24" s="2"/>
    </x:row>
    <x:row r="25" ht="25" customHeight="1">
      <x:c r="A25" s="2" t="str">
        <x:v>Order considers application fit first, then production/technical evidence, export/logistics evidence and clarity of information.</x:v>
      </x:c>
      <x:c r="B25" s="2"/>
      <x:c r="C25" s="2"/>
      <x:c r="D25" s="2"/>
      <x:c r="E25" s="2"/>
      <x:c r="F25" s="2"/>
      <x:c r="G25" s="2"/>
      <x:c r="H25" s="2"/>
      <x:c r="I25" s="2"/>
    </x:row>
    <x:row r="26" ht="25" customHeight="1">
      <x:c r="A26" s="2" t="str">
        <x:v>No supplier was contacted. Response time, real stock, pricing, delivery reliability and complaint handling are not verified.</x:v>
      </x:c>
      <x:c r="B26" s="2"/>
      <x:c r="C26" s="2"/>
      <x:c r="D26" s="2"/>
      <x:c r="E26" s="2"/>
      <x:c r="F26" s="2"/>
      <x:c r="G26" s="2"/>
      <x:c r="H26" s="2"/>
      <x:c r="I26" s="2"/>
    </x:row>
    <x:row r="27" ht="25" customHeight="1">
      <x:c r="A27" s="2" t="str">
        <x:v>Use the Materials filter: Text Filters &gt; Contains &gt; the mineral name. The country rank then gives the contact order.</x:v>
      </x:c>
      <x:c r="B27" s="2"/>
      <x:c r="C27" s="2"/>
      <x:c r="D27" s="2"/>
      <x:c r="E27" s="2"/>
      <x:c r="F27" s="2"/>
      <x:c r="G27" s="2"/>
      <x:c r="H27" s="2"/>
      <x:c r="I27" s="2"/>
    </x:row>
    <x:row r="28" ht="25" customHeight="1">
      <x:c r="A28" s="2" t="str">
        <x:v>Related brands were grouped where identified. The same global group may appear in more than one country.</x:v>
      </x:c>
      <x:c r="B28" s="2"/>
      <x:c r="C28" s="2"/>
      <x:c r="D28" s="2"/>
      <x:c r="E28" s="2"/>
      <x:c r="F28" s="2"/>
      <x:c r="G28" s="2"/>
      <x:c r="H28" s="2"/>
      <x:c r="I28" s="2"/>
    </x:row>
    <x:row r="29" ht="25" customHeight="1">
      <x:c r="A29" s="2" t="str">
        <x:v>Country means a production or local sales route. It does not guarantee that the mineral was mined in that country.</x:v>
      </x:c>
      <x:c r="B29" s="2"/>
      <x:c r="C29" s="2"/>
      <x:c r="D29" s="2"/>
      <x:c r="E29" s="2"/>
      <x:c r="F29" s="2"/>
      <x:c r="G29" s="2"/>
      <x:c r="H29" s="2"/>
      <x:c r="I29" s="2"/>
    </x:row>
    <x:row r="30" ht="25" customHeight="1">
      <x:c r="A30" s="2" t="str">
        <x:v>Open the sources beside each supplier. Company service claims are public statements, not an independent service audit.</x:v>
      </x:c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4" t="str">
        <x:v>MineTech qualification requirements</x:v>
      </x:c>
      <x:c r="B32" s="2"/>
      <x:c r="C32" s="2"/>
      <x:c r="D32" s="2"/>
      <x:c r="E32" s="2"/>
      <x:c r="F32" s="2"/>
      <x:c r="G32" s="2"/>
      <x:c r="H32" s="2"/>
      <x:c r="I32" s="2"/>
    </x:row>
    <x:row r="33" ht="25" customHeight="1">
      <x:c r="A33" s="2" t="str">
        <x:v>All suppliers: legal seller, plant/origin, TDS, SDS, recent representative COA, traceability and current certificate scope/expiry.</x:v>
      </x:c>
      <x:c r="B33" s="2"/>
      <x:c r="C33" s="2"/>
      <x:c r="D33" s="2"/>
      <x:c r="E33" s="2"/>
      <x:c r="F33" s="2"/>
      <x:c r="G33" s="2"/>
      <x:c r="H33" s="2"/>
      <x:c r="I33" s="2"/>
    </x:row>
    <x:row r="34" ht="25" customHeight="1">
      <x:c r="A34" s="2" t="str">
        <x:v>Bentonite: swelling and water absorption; drilling viscosity/fluid loss; foundry strength; pellet/GCL tests for the intended use.</x:v>
      </x:c>
      <x:c r="B34" s="2"/>
      <x:c r="C34" s="2"/>
      <x:c r="D34" s="2"/>
      <x:c r="E34" s="2"/>
      <x:c r="F34" s="2"/>
      <x:c r="G34" s="2"/>
      <x:c r="H34" s="2"/>
      <x:c r="I34" s="2"/>
    </x:row>
    <x:row r="35" ht="25" customHeight="1">
      <x:c r="A35" s="2" t="str">
        <x:v>Kaolin: hydrous vs calcined vs metakaolin, brightness test method, fired colour, PSD, iron/titanium, moisture and rheology.</x:v>
      </x:c>
      <x:c r="B35" s="2"/>
      <x:c r="C35" s="2"/>
      <x:c r="D35" s="2"/>
      <x:c r="E35" s="2"/>
      <x:c r="F35" s="2"/>
      <x:c r="G35" s="2"/>
      <x:c r="H35" s="2"/>
      <x:c r="I35" s="2"/>
    </x:row>
    <x:row r="36" ht="25" customHeight="1">
      <x:c r="A36" s="2" t="str">
        <x:v>Bleaching earth: natural/thermal vs acid activation, acid type, filtration, oil loss, dosage, chloride and contaminant test package.</x:v>
      </x:c>
      <x:c r="B36" s="2"/>
      <x:c r="C36" s="2"/>
      <x:c r="D36" s="2"/>
      <x:c r="E36" s="2"/>
      <x:c r="F36" s="2"/>
      <x:c r="G36" s="2"/>
      <x:c r="H36" s="2"/>
      <x:c r="I36" s="2"/>
    </x:row>
    <x:row r="37" ht="25" customHeight="1">
      <x:c r="A37" s="2" t="str">
        <x:v>PB1000, PB1000FF and PB2000 are MineTech reference grades. No supplier equivalent is approved by this desk research.</x:v>
      </x:c>
      <x:c r="B37" s="2"/>
      <x:c r="C37" s="2"/>
      <x:c r="D37" s="2"/>
      <x:c r="E37" s="2"/>
      <x:c r="F37" s="2"/>
      <x:c r="G37" s="2"/>
      <x:c r="H37" s="2"/>
      <x:c r="I37" s="2"/>
    </x:row>
    <x:row r="38" ht="25" customHeight="1">
      <x:c r="A38" s="2" t="str">
        <x:v>Calcium carbonate: GCC vs PCC, powder vs slurry, coated vs uncoated, purity, brightness, PSD and moisture.</x:v>
      </x:c>
      <x:c r="B38" s="2"/>
      <x:c r="C38" s="2"/>
      <x:c r="D38" s="2"/>
      <x:c r="E38" s="2"/>
      <x:c r="F38" s="2"/>
      <x:c r="G38" s="2"/>
      <x:c r="H38" s="2"/>
      <x:c r="I38" s="2"/>
    </x:row>
    <x:row r="39" ht="25" customHeight="1">
      <x:c r="A39" s="2" t="str">
        <x:v>Commercial comparison: MOQ, monthly allocation, pack sizes, dispatch time, Incoterm, origin, freight and delivered cost per tonne.</x:v>
      </x:c>
      <x:c r="B39" s="2"/>
      <x:c r="C39" s="2"/>
      <x:c r="D39" s="2"/>
      <x:c r="E39" s="2"/>
      <x:c r="F39" s="2"/>
      <x:c r="G39" s="2"/>
      <x:c r="H39" s="2"/>
      <x:c r="I39" s="2"/>
    </x:row>
    <x:row r="40" ht="25" customHeight="1">
      <x:c r="A40" s="2" t="str">
        <x:v>Delivery comparison point: MineTech facility, Frederik Hendrikstraat 60, 4586 AC Lamswaarde, Netherlands.</x:v>
      </x:c>
      <x:c r="B40" s="2"/>
      <x:c r="C40" s="2"/>
      <x:c r="D40" s="2"/>
      <x:c r="E40" s="2"/>
      <x:c r="F40" s="2"/>
      <x:c r="G40" s="2"/>
      <x:c r="H40" s="2"/>
      <x:c r="I40" s="2"/>
    </x:row>
    <x:row r="41" ht="25" customHeight="1">
      <x:c r="A41" s="2" t="str">
        <x:v>Request price and documents first, then a representative sample, then a paid trial. Approve repeat orders only after results.</x:v>
      </x:c>
      <x:c r="B41" s="2"/>
      <x:c r="C41" s="2"/>
      <x:c r="D41" s="2"/>
      <x:c r="E41" s="2"/>
      <x:c r="F41" s="2"/>
      <x:c r="G41" s="2"/>
      <x:c r="H41" s="2"/>
      <x:c r="I41" s="2"/>
    </x:row>
    <x:row r="42" ht="25" customHeight="1">
      <x:c r="A42" s="2" t="str">
        <x:v>Measure service during qualification: reply speed, completeness of documents, sample lead time and trial delivery performance.</x:v>
      </x:c>
      <x:c r="B42" s="2"/>
      <x:c r="C42" s="2"/>
      <x:c r="D42" s="2"/>
      <x:c r="E42" s="2"/>
      <x:c r="F42" s="2"/>
      <x:c r="G42" s="2"/>
      <x:c r="H42" s="2"/>
      <x:c r="I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</x:row>
    <x:row r="44">
      <x:c r="A44" s="32" t="str">
        <x:v>Not 120 approved manufacturers: the list includes processors, distributors and limited-fit sourcing candidates.</x:v>
      </x:c>
      <x:c r="B44" s="2"/>
      <x:c r="C44" s="2"/>
      <x:c r="D44" s="2"/>
      <x:c r="E44" s="2"/>
      <x:c r="F44" s="2"/>
      <x:c r="G44" s="2"/>
      <x:c r="H44" s="2"/>
      <x:c r="I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64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1" max="1" width="7" hidden="0" customWidth="1"/>
    <x:col min="2" max="2" width="36" hidden="0" customWidth="1"/>
    <x:col min="3" max="3" width="10" hidden="0" customWidth="1"/>
    <x:col min="4" max="4" width="28" hidden="0" customWidth="1"/>
    <x:col min="5" max="5" width="30" hidden="0" customWidth="1"/>
    <x:col min="6" max="6" width="30" hidden="0" customWidth="1"/>
    <x:col min="7" max="7" width="48" hidden="0" customWidth="1"/>
    <x:col min="8" max="8" width="48" hidden="0" customWidth="1"/>
    <x:col min="9" max="9" width="49" hidden="0" customWidth="1"/>
    <x:col min="10" max="10" width="38" hidden="0" customWidth="1"/>
    <x:col min="11" max="11" width="38" hidden="0" customWidth="1"/>
    <x:col min="12" max="12" width="3" hidden="0" customWidth="1"/>
    <x:col min="13" max="13" width="58" hidden="0" customWidth="1"/>
    <x:col min="14" max="14" width="58" hidden="0" customWidth="1"/>
    <x:col min="15" max="15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Peru supplier priorities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4" t="str">
        <x:v>30 candidates across the four minerals. Rank is RFQ priority, not measured service performance.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 t="str">
        <x:v>Material flags: 1 = listed route, 0 = not identified. Includes limited-fit grades.</x:v>
      </x:c>
      <x:c r="Q3" s="2"/>
      <x:c r="R3" s="2"/>
      <x:c r="S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6" customHeight="1">
      <x:c r="A5" s="8" t="str">
        <x:v>Rank</x:v>
      </x:c>
      <x:c r="B5" s="8" t="str">
        <x:v>Supplier</x:v>
      </x:c>
      <x:c r="C5" s="8" t="str">
        <x:v>Priority</x:v>
      </x:c>
      <x:c r="D5" s="8" t="str">
        <x:v>Supplier type</x:v>
      </x:c>
      <x:c r="E5" s="8" t="str">
        <x:v>Location / origin note</x:v>
      </x:c>
      <x:c r="F5" s="8" t="str">
        <x:v>Materials</x:v>
      </x:c>
      <x:c r="G5" s="8" t="str">
        <x:v>Product / application fit</x:v>
      </x:c>
      <x:c r="H5" s="8" t="str">
        <x:v>Public service evidence</x:v>
      </x:c>
      <x:c r="I5" s="8" t="str">
        <x:v>Confirm before buying</x:v>
      </x:c>
      <x:c r="J5" s="8" t="str">
        <x:v>Public contact route</x:v>
      </x:c>
      <x:c r="K5" s="8" t="str">
        <x:v>Website</x:v>
      </x:c>
      <x:c r="L5" s="2" t="str"/>
      <x:c r="M5" s="8" t="str">
        <x:v>Source 1</x:v>
      </x:c>
      <x:c r="N5" s="8" t="str">
        <x:v>Source 2</x:v>
      </x:c>
      <x:c r="O5" s="8" t="str">
        <x:v>Evidence basis</x:v>
      </x:c>
      <x:c r="P5" s="8" t="str">
        <x:v>Bentonite</x:v>
      </x:c>
      <x:c r="Q5" s="8" t="str">
        <x:v>Kaolin</x:v>
      </x:c>
      <x:c r="R5" s="8" t="str">
        <x:v>Bleaching earth</x:v>
      </x:c>
      <x:c r="S5" s="8" t="str">
        <x:v>Calcium carbonate</x:v>
      </x:c>
    </x:row>
    <x:row r="6" ht="64" customHeight="1">
      <x:c r="A6" s="15" t="n">
        <x:v>1</x:v>
      </x:c>
      <x:c r="B6" s="16" t="str">
        <x:v>Clariant Peru — TONSIL</x:v>
      </x:c>
      <x:c r="C6" s="17" t="str">
        <x:v>A</x:v>
      </x:c>
      <x:c r="D6" s="16" t="str">
        <x:v>Producer / global group</x:v>
      </x:c>
      <x:c r="E6" s="16" t="str">
        <x:v>Peru production site; dispatch site to confirm</x:v>
      </x:c>
      <x:c r="F6" s="16" t="str">
        <x:v>Bleaching earth</x:v>
      </x:c>
      <x:c r="G6" s="16" t="str">
        <x:v>Activated bleaching earth for oil purification. Request normal and fast-filtration equivalents.</x:v>
      </x:c>
      <x:c r="H6" s="16" t="str">
        <x:v>Oil-purification team offers laboratory and on-site technical services. Peru is listed among production countries.</x:v>
      </x:c>
      <x:c r="I6" s="16" t="str">
        <x:v>Which Peruvian plant and grade will supply MineTech? Confirm activation acid, EU documentation and export terms.</x:v>
      </x:c>
      <x:c r="J6" s="16" t="str">
        <x:v>Oil Purification enquiry form</x:v>
      </x:c>
      <x:c r="K6" s="21" t="str">
        <x:v>https://www.clariant.com/en/Business-Units/Additives-and-Adsorbents/Oil-Purification</x:v>
      </x:c>
      <x:c r="L6" s="11" t="str"/>
      <x:c r="M6" s="21" t="str">
        <x:v>https://www.clariant.com/en/Business-Units/Additives-and-Adsorbents/Oil-Purification</x:v>
      </x:c>
      <x:c r="N6" s="21" t="str"/>
      <x:c r="O6" s="16" t="str">
        <x:v>Company product listing</x:v>
      </x:c>
      <x:c r="P6" s="9" t="n">
        <x:v>0</x:v>
      </x:c>
      <x:c r="Q6" s="9" t="n">
        <x:v>0</x:v>
      </x:c>
      <x:c r="R6" s="9" t="n">
        <x:v>1</x:v>
      </x:c>
      <x:c r="S6" s="9" t="n">
        <x:v>0</x:v>
      </x:c>
    </x:row>
    <x:row r="7" ht="64" customHeight="1">
      <x:c r="A7" s="18" t="n">
        <x:v>2</x:v>
      </x:c>
      <x:c r="B7" s="19" t="str">
        <x:v>COMACSA — Holcim Peru</x:v>
      </x:c>
      <x:c r="C7" s="20" t="str">
        <x:v>A</x:v>
      </x:c>
      <x:c r="D7" s="19" t="str">
        <x:v>Producer / processor</x:v>
      </x:c>
      <x:c r="E7" s="19" t="str">
        <x:v>Peru; dispatch plant to confirm</x:v>
      </x:c>
      <x:c r="F7" s="19" t="str">
        <x:v>Kaolin; Calcium carbonate</x:v>
      </x:c>
      <x:c r="G7" s="19" t="str">
        <x:v>PZ-400/PZ-600 kaolin. FM-1000 fine carbonate, CV-2014 and coated PVC grade.</x:v>
      </x:c>
      <x:c r="H7" s="19" t="str">
        <x:v>Current Holcim catalogue specifies grades and end uses. COMACSA remains its non-metallic aggregates business.</x:v>
      </x:c>
      <x:c r="I7" s="19" t="str">
        <x:v>Confirm export service, current TDS/COA and grade availability. Current page does not confirm bentonite.</x:v>
      </x:c>
      <x:c r="J7" s="19" t="str">
        <x:v>Holcim Peru quotation / contact form</x:v>
      </x:c>
      <x:c r="K7" s="22" t="str">
        <x:v>https://www.holcim.com.pe/soluciones-y-productos/agregados-no-metalicos</x:v>
      </x:c>
      <x:c r="L7" s="11" t="str"/>
      <x:c r="M7" s="22" t="str">
        <x:v>https://www.holcim.com.pe/soluciones-y-productos/agregados-no-metalicos</x:v>
      </x:c>
      <x:c r="N7" s="22" t="str"/>
      <x:c r="O7" s="19" t="str">
        <x:v>Company product listing</x:v>
      </x:c>
      <x:c r="P7" s="9" t="n">
        <x:v>0</x:v>
      </x:c>
      <x:c r="Q7" s="9" t="n">
        <x:v>1</x:v>
      </x:c>
      <x:c r="R7" s="9" t="n">
        <x:v>0</x:v>
      </x:c>
      <x:c r="S7" s="9" t="n">
        <x:v>1</x:v>
      </x:c>
    </x:row>
    <x:row r="8" ht="64" customHeight="1">
      <x:c r="A8" s="15" t="n">
        <x:v>3</x:v>
      </x:c>
      <x:c r="B8" s="16" t="str">
        <x:v>Minerales Hamon</x:v>
      </x:c>
      <x:c r="C8" s="17" t="str">
        <x:v>A</x:v>
      </x:c>
      <x:c r="D8" s="16" t="str">
        <x:v>Miner / processor / exporter</x:v>
      </x:c>
      <x:c r="E8" s="16" t="str">
        <x:v>Tumbes mine; Lima office</x:v>
      </x:c>
      <x:c r="F8" s="16" t="str">
        <x:v>Bentonite</x:v>
      </x:c>
      <x:c r="G8" s="16" t="str">
        <x:v>Natural sodium bentonite. Drilling, foundry, civil works and ceramic applications listed.</x:v>
      </x:c>
      <x:c r="H8" s="16" t="str">
        <x:v>Company describes extraction, processing and export. Direct commercial contact published.</x:v>
      </x:c>
      <x:c r="I8" s="16" t="str">
        <x:v>Test swelling, viscosity, fluid loss and grade consistency against each MineTech application.</x:v>
      </x:c>
      <x:c r="J8" s="16" t="str">
        <x:v>ventas@mineraleshamon.com; +51 960 374 138</x:v>
      </x:c>
      <x:c r="K8" s="21" t="str">
        <x:v>https://mineraleshamon.com/</x:v>
      </x:c>
      <x:c r="L8" s="11" t="str"/>
      <x:c r="M8" s="21" t="str">
        <x:v>https://mineraleshamon.com/</x:v>
      </x:c>
      <x:c r="N8" s="21" t="str"/>
      <x:c r="O8" s="16" t="str">
        <x:v>Company product listing</x:v>
      </x:c>
      <x:c r="P8" s="9" t="n">
        <x:v>1</x:v>
      </x:c>
      <x:c r="Q8" s="9" t="n">
        <x:v>0</x:v>
      </x:c>
      <x:c r="R8" s="9" t="n">
        <x:v>0</x:v>
      </x:c>
      <x:c r="S8" s="9" t="n">
        <x:v>0</x:v>
      </x:c>
    </x:row>
    <x:row r="9" ht="64" customHeight="1">
      <x:c r="A9" s="18" t="n">
        <x:v>4</x:v>
      </x:c>
      <x:c r="B9" s="19" t="str">
        <x:v>INSUMEX S.A.</x:v>
      </x:c>
      <x:c r="C9" s="20" t="str">
        <x:v>B</x:v>
      </x:c>
      <x:c r="D9" s="19" t="str">
        <x:v>Mineral producer / supplier</x:v>
      </x:c>
      <x:c r="E9" s="19" t="str">
        <x:v>Peru; plant to confirm</x:v>
      </x:c>
      <x:c r="F9" s="19" t="str">
        <x:v>Bentonite; Kaolin; Calcium carbonate</x:v>
      </x:c>
      <x:c r="G9" s="19" t="str">
        <x:v>Industrial bentonite, kaolin and calcium carbonate appear in a public procurement document.</x:v>
      </x:c>
      <x:c r="H9" s="19" t="str">
        <x:v>Government-hosted 2025 documentation identifies the mineral production/commercial scope.</x:v>
      </x:c>
      <x:c r="I9" s="19" t="str">
        <x:v>Website unavailable during review. Verify active contact, current certificate validity, grades and exports.</x:v>
      </x:c>
      <x:c r="J9" s="19" t="str">
        <x:v>Company website / company LinkedIn</x:v>
      </x:c>
      <x:c r="K9" s="22" t="str">
        <x:v>https://www.insumex.com.pe/</x:v>
      </x:c>
      <x:c r="L9" s="11" t="str"/>
      <x:c r="M9" s="22" t="str">
        <x:v>https://www.meriss.gob.pe/plan/wp-content/uploads/2025/08/RD-No058-2025-DE.pdf</x:v>
      </x:c>
      <x:c r="N9" s="22" t="str">
        <x:v>https://pe.linkedin.com/company/insumexperu</x:v>
      </x:c>
      <x:c r="O9" s="19" t="str">
        <x:v>Government document; direct site unavailable</x:v>
      </x:c>
      <x:c r="P9" s="9" t="n">
        <x:v>1</x:v>
      </x:c>
      <x:c r="Q9" s="9" t="n">
        <x:v>1</x:v>
      </x:c>
      <x:c r="R9" s="9" t="n">
        <x:v>0</x:v>
      </x:c>
      <x:c r="S9" s="9" t="n">
        <x:v>1</x:v>
      </x:c>
    </x:row>
    <x:row r="10" ht="64" customHeight="1">
      <x:c r="A10" s="15" t="n">
        <x:v>5</x:v>
      </x:c>
      <x:c r="B10" s="16" t="str">
        <x:v>INSUTEC</x:v>
      </x:c>
      <x:c r="C10" s="17" t="str">
        <x:v>B</x:v>
      </x:c>
      <x:c r="D10" s="16" t="str">
        <x:v>Industrial mineral producer / supplier</x:v>
      </x:c>
      <x:c r="E10" s="16" t="str">
        <x:v>Peru; dispatch location to confirm</x:v>
      </x:c>
      <x:c r="F10" s="16" t="str">
        <x:v>Bentonite; Calcium carbonate</x:v>
      </x:c>
      <x:c r="G10" s="16" t="str">
        <x:v>Industrial bentonite and calcium carbonate. Match the grade before requesting a trial.</x:v>
      </x:c>
      <x:c r="H10" s="16" t="str">
        <x:v>Specialist industrial-mineral supplier with a dedicated product catalogue.</x:v>
      </x:c>
      <x:c r="I10" s="16" t="str">
        <x:v>Obtain exact grade data, monthly allocation, packing and Netherlands freight offer.</x:v>
      </x:c>
      <x:c r="J10" s="16" t="str">
        <x:v>Website contact form</x:v>
      </x:c>
      <x:c r="K10" s="21" t="str">
        <x:v>https://www.insutec.com.pe/</x:v>
      </x:c>
      <x:c r="L10" s="11" t="str"/>
      <x:c r="M10" s="21" t="str">
        <x:v>https://www.insutec.com.pe/</x:v>
      </x:c>
      <x:c r="N10" s="21" t="str"/>
      <x:c r="O10" s="16" t="str">
        <x:v>Company product listing</x:v>
      </x:c>
      <x:c r="P10" s="9" t="n">
        <x:v>1</x:v>
      </x:c>
      <x:c r="Q10" s="9" t="n">
        <x:v>0</x:v>
      </x:c>
      <x:c r="R10" s="9" t="n">
        <x:v>0</x:v>
      </x:c>
      <x:c r="S10" s="9" t="n">
        <x:v>1</x:v>
      </x:c>
    </x:row>
    <x:row r="11" ht="64" customHeight="1">
      <x:c r="A11" s="18" t="n">
        <x:v>6</x:v>
      </x:c>
      <x:c r="B11" s="19" t="str">
        <x:v>Compañía Minera Fortuna</x:v>
      </x:c>
      <x:c r="C11" s="20" t="str">
        <x:v>B</x:v>
      </x:c>
      <x:c r="D11" s="19" t="str">
        <x:v>Mineral producer / supplier</x:v>
      </x:c>
      <x:c r="E11" s="19" t="str">
        <x:v>Peru; dispatch location to confirm</x:v>
      </x:c>
      <x:c r="F11" s="19" t="str">
        <x:v>Bentonite; Kaolin; Calcium carbonate</x:v>
      </x:c>
      <x:c r="G11" s="19" t="str">
        <x:v>Bentonite for drilling plus kaolin and calcium carbonate listed alongside barite.</x:v>
      </x:c>
      <x:c r="H11" s="19" t="str">
        <x:v>Multi-mineral industrial catalogue gives a direct sourcing route.</x:v>
      </x:c>
      <x:c r="I11" s="19" t="str">
        <x:v>Confirm own production versus sourced grades, test reports and export track record.</x:v>
      </x:c>
      <x:c r="J11" s="19" t="str">
        <x:v>Website commercial contact</x:v>
      </x:c>
      <x:c r="K11" s="22" t="str">
        <x:v>https://minerafortuna.net/</x:v>
      </x:c>
      <x:c r="L11" s="11" t="str"/>
      <x:c r="M11" s="22" t="str">
        <x:v>https://minerafortuna.net/services-1.html</x:v>
      </x:c>
      <x:c r="N11" s="22" t="str"/>
      <x:c r="O11" s="19" t="str">
        <x:v>Company product listing</x:v>
      </x:c>
      <x:c r="P11" s="9" t="n">
        <x:v>1</x:v>
      </x:c>
      <x:c r="Q11" s="9" t="n">
        <x:v>1</x:v>
      </x:c>
      <x:c r="R11" s="9" t="n">
        <x:v>0</x:v>
      </x:c>
      <x:c r="S11" s="9" t="n">
        <x:v>1</x:v>
      </x:c>
    </x:row>
    <x:row r="12" ht="64" customHeight="1">
      <x:c r="A12" s="15" t="n">
        <x:v>7</x:v>
      </x:c>
      <x:c r="B12" s="16" t="str">
        <x:v>Mineralium</x:v>
      </x:c>
      <x:c r="C12" s="17" t="str">
        <x:v>B</x:v>
      </x:c>
      <x:c r="D12" s="16" t="str">
        <x:v>Mineral processor / distributor</x:v>
      </x:c>
      <x:c r="E12" s="16" t="str">
        <x:v>Huachipa plant; San Isidro office, Lima</x:v>
      </x:c>
      <x:c r="F12" s="16" t="str">
        <x:v>Calcium carbonate</x:v>
      </x:c>
      <x:c r="G12" s="16" t="str">
        <x:v>Micronized calcium carbonate for industrial formulations.</x:v>
      </x:c>
      <x:c r="H12" s="16" t="str">
        <x:v>Company describes production, distribution and logistics from its Huachipa operation.</x:v>
      </x:c>
      <x:c r="I12" s="16" t="str">
        <x:v>Confirm PSD, brightness, coating options, export packing and landed cost.</x:v>
      </x:c>
      <x:c r="J12" s="16" t="str">
        <x:v>info@mineralium.pe; +51 992 744 744</x:v>
      </x:c>
      <x:c r="K12" s="21" t="str">
        <x:v>https://www.mineralium.pe/</x:v>
      </x:c>
      <x:c r="L12" s="11" t="str"/>
      <x:c r="M12" s="21" t="str">
        <x:v>https://www.mineralium.pe/</x:v>
      </x:c>
      <x:c r="N12" s="21" t="str"/>
      <x:c r="O12" s="16" t="str">
        <x:v>Company product listing</x:v>
      </x:c>
      <x:c r="P12" s="9" t="n">
        <x:v>0</x:v>
      </x:c>
      <x:c r="Q12" s="9" t="n">
        <x:v>0</x:v>
      </x:c>
      <x:c r="R12" s="9" t="n">
        <x:v>0</x:v>
      </x:c>
      <x:c r="S12" s="9" t="n">
        <x:v>1</x:v>
      </x:c>
    </x:row>
    <x:row r="13" ht="64" customHeight="1">
      <x:c r="A13" s="18" t="n">
        <x:v>8</x:v>
      </x:c>
      <x:c r="B13" s="19" t="str">
        <x:v>Molinos Calcáreos — MOLICAL</x:v>
      </x:c>
      <x:c r="C13" s="20" t="str">
        <x:v>B</x:v>
      </x:c>
      <x:c r="D13" s="19" t="str">
        <x:v>Mineral producer / processor</x:v>
      </x:c>
      <x:c r="E13" s="19" t="str">
        <x:v>Peru; dispatch plant to confirm</x:v>
      </x:c>
      <x:c r="F13" s="19" t="str">
        <x:v>Calcium carbonate</x:v>
      </x:c>
      <x:c r="G13" s="19" t="str">
        <x:v>Ground calcium carbonate with multiple mesh grades.</x:v>
      </x:c>
      <x:c r="H13" s="19" t="str">
        <x:v>Dedicated carbonate processing and published grade range.</x:v>
      </x:c>
      <x:c r="I13" s="19" t="str">
        <x:v>Confirm source quarry, whiteness, D50/D97, repeatability and EU export terms.</x:v>
      </x:c>
      <x:c r="J13" s="19" t="str">
        <x:v>Website enquiry form</x:v>
      </x:c>
      <x:c r="K13" s="22" t="str">
        <x:v>https://molical.com/</x:v>
      </x:c>
      <x:c r="L13" s="11" t="str"/>
      <x:c r="M13" s="22" t="str">
        <x:v>https://molical.com/productos/</x:v>
      </x:c>
      <x:c r="N13" s="22" t="str"/>
      <x:c r="O13" s="19" t="str">
        <x:v>Company product listing</x:v>
      </x:c>
      <x:c r="P13" s="9" t="n">
        <x:v>0</x:v>
      </x:c>
      <x:c r="Q13" s="9" t="n">
        <x:v>0</x:v>
      </x:c>
      <x:c r="R13" s="9" t="n">
        <x:v>0</x:v>
      </x:c>
      <x:c r="S13" s="9" t="n">
        <x:v>1</x:v>
      </x:c>
    </x:row>
    <x:row r="14" ht="64" customHeight="1">
      <x:c r="A14" s="15" t="n">
        <x:v>9</x:v>
      </x:c>
      <x:c r="B14" s="16" t="str">
        <x:v>COMISICE Peru</x:v>
      </x:c>
      <x:c r="C14" s="17" t="str">
        <x:v>B</x:v>
      </x:c>
      <x:c r="D14" s="16" t="str">
        <x:v>Miner / processor</x:v>
      </x:c>
      <x:c r="E14" s="16" t="str">
        <x:v>Jauja, Junín quarries</x:v>
      </x:c>
      <x:c r="F14" s="16" t="str">
        <x:v>Bentonite; Calcium carbonate</x:v>
      </x:c>
      <x:c r="G14" s="16" t="str">
        <x:v>Bentonite for drilling/civil work and calcium carbonate.</x:v>
      </x:c>
      <x:c r="H14" s="16" t="str">
        <x:v>Company lists its own quarry resources and relevant industrial products.</x:v>
      </x:c>
      <x:c r="I14" s="16" t="str">
        <x:v>Verify activation, processing capacity, representative COA and export service.</x:v>
      </x:c>
      <x:c r="J14" s="16" t="str">
        <x:v>Website commercial contact</x:v>
      </x:c>
      <x:c r="K14" s="21" t="str">
        <x:v>https://comisiceperu.com/</x:v>
      </x:c>
      <x:c r="L14" s="11" t="str"/>
      <x:c r="M14" s="21" t="str">
        <x:v>https://comisiceperu.com/nuestros-productos/</x:v>
      </x:c>
      <x:c r="N14" s="21" t="str"/>
      <x:c r="O14" s="16" t="str">
        <x:v>Company product listing</x:v>
      </x:c>
      <x:c r="P14" s="9" t="n">
        <x:v>1</x:v>
      </x:c>
      <x:c r="Q14" s="9" t="n">
        <x:v>0</x:v>
      </x:c>
      <x:c r="R14" s="9" t="n">
        <x:v>0</x:v>
      </x:c>
      <x:c r="S14" s="9" t="n">
        <x:v>1</x:v>
      </x:c>
    </x:row>
    <x:row r="15" ht="64" customHeight="1">
      <x:c r="A15" s="18" t="n">
        <x:v>10</x:v>
      </x:c>
      <x:c r="B15" s="19" t="str">
        <x:v>Floreser Peru</x:v>
      </x:c>
      <x:c r="C15" s="20" t="str">
        <x:v>B</x:v>
      </x:c>
      <x:c r="D15" s="19" t="str">
        <x:v>Mineral processor / supplier</x:v>
      </x:c>
      <x:c r="E15" s="19" t="str">
        <x:v>Peru; plant to confirm</x:v>
      </x:c>
      <x:c r="F15" s="19" t="str">
        <x:v>Bentonite; Calcium carbonate</x:v>
      </x:c>
      <x:c r="G15" s="19" t="str">
        <x:v>Calcium carbonate grades and granulated bentonite.</x:v>
      </x:c>
      <x:c r="H15" s="19" t="str">
        <x:v>Company describes mineral transformation and domestic/international sales.</x:v>
      </x:c>
      <x:c r="I15" s="19" t="str">
        <x:v>Confirm raw industrial bentonite specification and export-ready packaging.</x:v>
      </x:c>
      <x:c r="J15" s="19" t="str">
        <x:v>Website enquiry form</x:v>
      </x:c>
      <x:c r="K15" s="22" t="str">
        <x:v>https://floreserperu.com/</x:v>
      </x:c>
      <x:c r="L15" s="11" t="str"/>
      <x:c r="M15" s="22" t="str">
        <x:v>https://floreserperu.com/carbonato-de-calcio/</x:v>
      </x:c>
      <x:c r="N15" s="22" t="str"/>
      <x:c r="O15" s="19" t="str">
        <x:v>Company product listing</x:v>
      </x:c>
      <x:c r="P15" s="9" t="n">
        <x:v>1</x:v>
      </x:c>
      <x:c r="Q15" s="9" t="n">
        <x:v>0</x:v>
      </x:c>
      <x:c r="R15" s="9" t="n">
        <x:v>0</x:v>
      </x:c>
      <x:c r="S15" s="9" t="n">
        <x:v>1</x:v>
      </x:c>
    </x:row>
    <x:row r="16" ht="64" customHeight="1">
      <x:c r="A16" s="15" t="n">
        <x:v>11</x:v>
      </x:c>
      <x:c r="B16" s="16" t="str">
        <x:v>Sociedad Minera Dogaresa — Química Andina</x:v>
      </x:c>
      <x:c r="C16" s="17" t="str">
        <x:v>B</x:v>
      </x:c>
      <x:c r="D16" s="16" t="str">
        <x:v>Mineral processor / group supplier</x:v>
      </x:c>
      <x:c r="E16" s="16" t="str">
        <x:v>Peru; dispatch plant to confirm</x:v>
      </x:c>
      <x:c r="F16" s="16" t="str">
        <x:v>Calcium carbonate</x:v>
      </x:c>
      <x:c r="G16" s="16" t="str">
        <x:v>Ground and classified calcium carbonate.</x:v>
      </x:c>
      <x:c r="H16" s="16" t="str">
        <x:v>Group page describes a dedicated carbonate grinding/classification business.</x:v>
      </x:c>
      <x:c r="I16" s="16" t="str">
        <x:v>Confirm selling entity, plant, available fineness and export allocation.</x:v>
      </x:c>
      <x:c r="J16" s="16" t="str">
        <x:v>Química Andina commercial contact</x:v>
      </x:c>
      <x:c r="K16" s="21" t="str">
        <x:v>https://www.quimicaandina.com.pe/</x:v>
      </x:c>
      <x:c r="L16" s="11" t="str"/>
      <x:c r="M16" s="21" t="str">
        <x:v>https://www.quimicaandina.com.pe/sociedad-minera-dogaresa/</x:v>
      </x:c>
      <x:c r="N16" s="21" t="str"/>
      <x:c r="O16" s="16" t="str">
        <x:v>Company product listing</x:v>
      </x:c>
      <x:c r="P16" s="9" t="n">
        <x:v>0</x:v>
      </x:c>
      <x:c r="Q16" s="9" t="n">
        <x:v>0</x:v>
      </x:c>
      <x:c r="R16" s="9" t="n">
        <x:v>0</x:v>
      </x:c>
      <x:c r="S16" s="9" t="n">
        <x:v>1</x:v>
      </x:c>
    </x:row>
    <x:row r="17" ht="64" customHeight="1">
      <x:c r="A17" s="18" t="n">
        <x:v>12</x:v>
      </x:c>
      <x:c r="B17" s="19" t="str">
        <x:v>Mathiesen Peru</x:v>
      </x:c>
      <x:c r="C17" s="20" t="str">
        <x:v>B</x:v>
      </x:c>
      <x:c r="D17" s="19" t="str">
        <x:v>Regional distributor</x:v>
      </x:c>
      <x:c r="E17" s="19" t="str">
        <x:v>Santiago de Surco, Lima</x:v>
      </x:c>
      <x:c r="F17" s="19" t="str">
        <x:v>Kaolin; Calcium carbonate</x:v>
      </x:c>
      <x:c r="G17" s="19" t="str">
        <x:v>Hydrous/calcined kaolin sourcing and calcium carbonate. Country availability requires confirmation.</x:v>
      </x:c>
      <x:c r="H17" s="19" t="str">
        <x:v>Peru office and regional application support. Group publishes kaolin products.</x:v>
      </x:c>
      <x:c r="I17" s="19" t="str">
        <x:v>Ask which exact grades are stocked in Peru, origin and whether re-export to Europe is economical.</x:v>
      </x:c>
      <x:c r="J17" s="19" t="str">
        <x:v>Peru office enquiry form</x:v>
      </x:c>
      <x:c r="K17" s="22" t="str">
        <x:v>https://www.grupomathiesen.com/en/peru/</x:v>
      </x:c>
      <x:c r="L17" s="11" t="str"/>
      <x:c r="M17" s="22" t="str">
        <x:v>https://www.grupomathiesen.com/productos-industrias/caolines/</x:v>
      </x:c>
      <x:c r="N17" s="22" t="str">
        <x:v>https://catalogo.grupomathiesen.com/categoria-producto/alimentos/acidos-y-sales-de-especialidad/</x:v>
      </x:c>
      <x:c r="O17" s="19" t="str">
        <x:v>Local office + group product catalogue</x:v>
      </x:c>
      <x:c r="P17" s="9" t="n">
        <x:v>0</x:v>
      </x:c>
      <x:c r="Q17" s="9" t="n">
        <x:v>1</x:v>
      </x:c>
      <x:c r="R17" s="9" t="n">
        <x:v>0</x:v>
      </x:c>
      <x:c r="S17" s="9" t="n">
        <x:v>1</x:v>
      </x:c>
    </x:row>
    <x:row r="18" ht="64" customHeight="1">
      <x:c r="A18" s="15" t="n">
        <x:v>13</x:v>
      </x:c>
      <x:c r="B18" s="16" t="str">
        <x:v>Core Tech</x:v>
      </x:c>
      <x:c r="C18" s="17" t="str">
        <x:v>B</x:v>
      </x:c>
      <x:c r="D18" s="16" t="str">
        <x:v>Drilling materials specialist</x:v>
      </x:c>
      <x:c r="E18" s="16" t="str">
        <x:v>Peru</x:v>
      </x:c>
      <x:c r="F18" s="16" t="str">
        <x:v>Bentonite</x:v>
      </x:c>
      <x:c r="G18" s="16" t="str">
        <x:v>XTREME F-GEL drilling bentonite.</x:v>
      </x:c>
      <x:c r="H18" s="16" t="str">
        <x:v>Published product launch and drilling technical-support offer.</x:v>
      </x:c>
      <x:c r="I18" s="16" t="str">
        <x:v>Product article is older. Confirm current formulation, stock, export and API test results.</x:v>
      </x:c>
      <x:c r="J18" s="16" t="str">
        <x:v>Website sales contact</x:v>
      </x:c>
      <x:c r="K18" s="21" t="str">
        <x:v>https://www.coretech.com.pe/</x:v>
      </x:c>
      <x:c r="L18" s="11" t="str"/>
      <x:c r="M18" s="21" t="str">
        <x:v>https://www.coretech.com.pe/novedades/core-tech-lanza-nueva-bentonita</x:v>
      </x:c>
      <x:c r="N18" s="21" t="str"/>
      <x:c r="O18" s="16" t="str">
        <x:v>Company product listing</x:v>
      </x:c>
      <x:c r="P18" s="9" t="n">
        <x:v>1</x:v>
      </x:c>
      <x:c r="Q18" s="9" t="n">
        <x:v>0</x:v>
      </x:c>
      <x:c r="R18" s="9" t="n">
        <x:v>0</x:v>
      </x:c>
      <x:c r="S18" s="9" t="n">
        <x:v>0</x:v>
      </x:c>
    </x:row>
    <x:row r="19" ht="64" customHeight="1">
      <x:c r="A19" s="18" t="n">
        <x:v>14</x:v>
      </x:c>
      <x:c r="B19" s="19" t="str">
        <x:v>Pochteca Peru</x:v>
      </x:c>
      <x:c r="C19" s="20" t="str">
        <x:v>B</x:v>
      </x:c>
      <x:c r="D19" s="19" t="str">
        <x:v>Chemical distributor</x:v>
      </x:c>
      <x:c r="E19" s="19" t="str">
        <x:v>Peru distribution operation</x:v>
      </x:c>
      <x:c r="F19" s="19" t="str">
        <x:v>Bentonite</x:v>
      </x:c>
      <x:c r="G19" s="19" t="str">
        <x:v>Bentonite in oil-and-gas/drilling product portfolio.</x:v>
      </x:c>
      <x:c r="H19" s="19" t="str">
        <x:v>Established regional distribution route with an industry-specific catalogue.</x:v>
      </x:c>
      <x:c r="I19" s="19" t="str">
        <x:v>Confirm manufacturer, origin, drilling grade, MOQ and re-export rights.</x:v>
      </x:c>
      <x:c r="J19" s="19" t="str">
        <x:v>Peru commercial enquiry form</x:v>
      </x:c>
      <x:c r="K19" s="22" t="str">
        <x:v>https://peru.pochteca.net/</x:v>
      </x:c>
      <x:c r="L19" s="11" t="str"/>
      <x:c r="M19" s="22" t="str">
        <x:v>https://peru.pochteca.net/industrias/petroleo-y-gas/</x:v>
      </x:c>
      <x:c r="N19" s="22" t="str"/>
      <x:c r="O19" s="19" t="str">
        <x:v>Company product listing</x:v>
      </x:c>
      <x:c r="P19" s="9" t="n">
        <x:v>1</x:v>
      </x:c>
      <x:c r="Q19" s="9" t="n">
        <x:v>0</x:v>
      </x:c>
      <x:c r="R19" s="9" t="n">
        <x:v>0</x:v>
      </x:c>
      <x:c r="S19" s="9" t="n">
        <x:v>0</x:v>
      </x:c>
    </x:row>
    <x:row r="20" ht="64" customHeight="1">
      <x:c r="A20" s="15" t="n">
        <x:v>15</x:v>
      </x:c>
      <x:c r="B20" s="16" t="str">
        <x:v>TECOMING</x:v>
      </x:c>
      <x:c r="C20" s="17" t="str">
        <x:v>B</x:v>
      </x:c>
      <x:c r="D20" s="16" t="str">
        <x:v>Drilling products supplier</x:v>
      </x:c>
      <x:c r="E20" s="16" t="str">
        <x:v>Peru</x:v>
      </x:c>
      <x:c r="F20" s="16" t="str">
        <x:v>Bentonite</x:v>
      </x:c>
      <x:c r="G20" s="16" t="str">
        <x:v>Bentonite and drilling additives.</x:v>
      </x:c>
      <x:c r="H20" s="16" t="str">
        <x:v>Specialist drilling supply route rather than a general chemical retailer.</x:v>
      </x:c>
      <x:c r="I20" s="16" t="str">
        <x:v>Confirm own brand/manufacturer, mud test results and export capability.</x:v>
      </x:c>
      <x:c r="J20" s="16" t="str">
        <x:v>Website commercial contact</x:v>
      </x:c>
      <x:c r="K20" s="21" t="str">
        <x:v>https://tecoming.com/</x:v>
      </x:c>
      <x:c r="L20" s="11" t="str"/>
      <x:c r="M20" s="21" t="str">
        <x:v>https://tecoming.com/</x:v>
      </x:c>
      <x:c r="N20" s="21" t="str"/>
      <x:c r="O20" s="16" t="str">
        <x:v>Company product listing</x:v>
      </x:c>
      <x:c r="P20" s="9" t="n">
        <x:v>1</x:v>
      </x:c>
      <x:c r="Q20" s="9" t="n">
        <x:v>0</x:v>
      </x:c>
      <x:c r="R20" s="9" t="n">
        <x:v>0</x:v>
      </x:c>
      <x:c r="S20" s="9" t="n">
        <x:v>0</x:v>
      </x:c>
    </x:row>
    <x:row r="21" ht="64" customHeight="1">
      <x:c r="A21" s="18" t="n">
        <x:v>16</x:v>
      </x:c>
      <x:c r="B21" s="19" t="str">
        <x:v>JC Portal Drilling Supplies</x:v>
      </x:c>
      <x:c r="C21" s="20" t="str">
        <x:v>B</x:v>
      </x:c>
      <x:c r="D21" s="19" t="str">
        <x:v>Drilling distributor</x:v>
      </x:c>
      <x:c r="E21" s="19" t="str">
        <x:v>Peru operation; exact warehouse to confirm</x:v>
      </x:c>
      <x:c r="F21" s="19" t="str">
        <x:v>Bentonite</x:v>
      </x:c>
      <x:c r="G21" s="19" t="str">
        <x:v>GEL PREMIUM N and bentonite sealing products for drilling/HDD.</x:v>
      </x:c>
      <x:c r="H21" s="19" t="str">
        <x:v>Company posts show bentonite dispatches and field support across Latin America.</x:v>
      </x:c>
      <x:c r="I21" s="19" t="str">
        <x:v>Confirm Peruvian selling entity, stock origin, active grades and Europe shipping.</x:v>
      </x:c>
      <x:c r="J21" s="19" t="str">
        <x:v>Website sales enquiry</x:v>
      </x:c>
      <x:c r="K21" s="22" t="str">
        <x:v>https://jcportalds.com/</x:v>
      </x:c>
      <x:c r="L21" s="11" t="str"/>
      <x:c r="M21" s="22" t="str">
        <x:v>https://es.linkedin.com/posts/jc-portal-drilling-supplies_jcportal-panama-centroamerica-activity-7206456344390832128-oFnw</x:v>
      </x:c>
      <x:c r="N21" s="22" t="str"/>
      <x:c r="O21" s="19" t="str">
        <x:v>Company operational post</x:v>
      </x:c>
      <x:c r="P21" s="9" t="n">
        <x:v>1</x:v>
      </x:c>
      <x:c r="Q21" s="9" t="n">
        <x:v>0</x:v>
      </x:c>
      <x:c r="R21" s="9" t="n">
        <x:v>0</x:v>
      </x:c>
      <x:c r="S21" s="9" t="n">
        <x:v>0</x:v>
      </x:c>
    </x:row>
    <x:row r="22" ht="64" customHeight="1">
      <x:c r="A22" s="15" t="n">
        <x:v>17</x:v>
      </x:c>
      <x:c r="B22" s="16" t="str">
        <x:v>Mincore Products S.A.C.</x:v>
      </x:c>
      <x:c r="C22" s="17" t="str">
        <x:v>B</x:v>
      </x:c>
      <x:c r="D22" s="16" t="str">
        <x:v>Mining supplies distributor</x:v>
      </x:c>
      <x:c r="E22" s="16" t="str">
        <x:v>Comas, Lima</x:v>
      </x:c>
      <x:c r="F22" s="16" t="str">
        <x:v>Bentonite</x:v>
      </x:c>
      <x:c r="G22" s="16" t="str">
        <x:v>Premium Extra drilling bentonite for viscosity and fluid-loss control.</x:v>
      </x:c>
      <x:c r="H22" s="16" t="str">
        <x:v>Live quotation catalogue and direct sales contact.</x:v>
      </x:c>
      <x:c r="I22" s="16" t="str">
        <x:v>Page title says 22.70 kg; specification says 22.50 kg. Resolve bag weight, COA and container pricing.</x:v>
      </x:c>
      <x:c r="J22" s="16" t="str">
        <x:v>ventas@mincoreproducts.com; +51 951 231 032</x:v>
      </x:c>
      <x:c r="K22" s="21" t="str">
        <x:v>https://mincoreproducts.com/</x:v>
      </x:c>
      <x:c r="L22" s="11" t="str"/>
      <x:c r="M22" s="21" t="str">
        <x:v>https://mincoreproducts.com/producto.php?id=flu-002</x:v>
      </x:c>
      <x:c r="N22" s="21" t="str"/>
      <x:c r="O22" s="16" t="str">
        <x:v>Company product listing</x:v>
      </x:c>
      <x:c r="P22" s="9" t="n">
        <x:v>1</x:v>
      </x:c>
      <x:c r="Q22" s="9" t="n">
        <x:v>0</x:v>
      </x:c>
      <x:c r="R22" s="9" t="n">
        <x:v>0</x:v>
      </x:c>
      <x:c r="S22" s="9" t="n">
        <x:v>0</x:v>
      </x:c>
    </x:row>
    <x:row r="23" ht="64" customHeight="1">
      <x:c r="A23" s="18" t="n">
        <x:v>18</x:v>
      </x:c>
      <x:c r="B23" s="19" t="str">
        <x:v>Maxnel</x:v>
      </x:c>
      <x:c r="C23" s="20" t="str">
        <x:v>B</x:v>
      </x:c>
      <x:c r="D23" s="19" t="str">
        <x:v>Bentonite supplier</x:v>
      </x:c>
      <x:c r="E23" s="19" t="str">
        <x:v>Peru; plant to confirm</x:v>
      </x:c>
      <x:c r="F23" s="19" t="str">
        <x:v>Bentonite</x:v>
      </x:c>
      <x:c r="G23" s="19" t="str">
        <x:v>Bentonite for project/industrial enquiries.</x:v>
      </x:c>
      <x:c r="H23" s="19" t="str">
        <x:v>Dedicated bentonite supplier website.</x:v>
      </x:c>
      <x:c r="I23" s="19" t="str">
        <x:v>Validate factory ownership, application-specific test data and export history.</x:v>
      </x:c>
      <x:c r="J23" s="19" t="str">
        <x:v>Website enquiry form</x:v>
      </x:c>
      <x:c r="K23" s="22" t="str">
        <x:v>https://maxnel.com.pe/</x:v>
      </x:c>
      <x:c r="L23" s="11" t="str"/>
      <x:c r="M23" s="22" t="str">
        <x:v>https://maxnel.com.pe/</x:v>
      </x:c>
      <x:c r="N23" s="22" t="str"/>
      <x:c r="O23" s="19" t="str">
        <x:v>Company product listing</x:v>
      </x:c>
      <x:c r="P23" s="9" t="n">
        <x:v>1</x:v>
      </x:c>
      <x:c r="Q23" s="9" t="n">
        <x:v>0</x:v>
      </x:c>
      <x:c r="R23" s="9" t="n">
        <x:v>0</x:v>
      </x:c>
      <x:c r="S23" s="9" t="n">
        <x:v>0</x:v>
      </x:c>
    </x:row>
    <x:row r="24" ht="64" customHeight="1">
      <x:c r="A24" s="15" t="n">
        <x:v>19</x:v>
      </x:c>
      <x:c r="B24" s="16" t="str">
        <x:v>Insumos Marife</x:v>
      </x:c>
      <x:c r="C24" s="17" t="str">
        <x:v>B</x:v>
      </x:c>
      <x:c r="D24" s="16" t="str">
        <x:v>Industrial distributor</x:v>
      </x:c>
      <x:c r="E24" s="16" t="str">
        <x:v>Peru</x:v>
      </x:c>
      <x:c r="F24" s="16" t="str">
        <x:v>Bentonite; Kaolin; Calcium carbonate</x:v>
      </x:c>
      <x:c r="G24" s="16" t="str">
        <x:v>Natural bentonite M200 and kaolin M325 among industrial minerals.</x:v>
      </x:c>
      <x:c r="H24" s="16" t="str">
        <x:v>Product catalogue includes technical-sheet access for mineral enquiries.</x:v>
      </x:c>
      <x:c r="I24" s="16" t="str">
        <x:v>Confirm carbonate grade, source plants, bulk stock and Europe freight.</x:v>
      </x:c>
      <x:c r="J24" s="16" t="str">
        <x:v>Website commercial contact</x:v>
      </x:c>
      <x:c r="K24" s="21" t="str">
        <x:v>https://insumosmarife.com/</x:v>
      </x:c>
      <x:c r="L24" s="11" t="str"/>
      <x:c r="M24" s="21" t="str">
        <x:v>https://insumosmarife.com/productos/</x:v>
      </x:c>
      <x:c r="N24" s="21" t="str"/>
      <x:c r="O24" s="16" t="str">
        <x:v>Company product listing</x:v>
      </x:c>
      <x:c r="P24" s="9" t="n">
        <x:v>1</x:v>
      </x:c>
      <x:c r="Q24" s="9" t="n">
        <x:v>1</x:v>
      </x:c>
      <x:c r="R24" s="9" t="n">
        <x:v>0</x:v>
      </x:c>
      <x:c r="S24" s="9" t="n">
        <x:v>1</x:v>
      </x:c>
    </x:row>
    <x:row r="25" ht="64" customHeight="1">
      <x:c r="A25" s="18" t="n">
        <x:v>20</x:v>
      </x:c>
      <x:c r="B25" s="19" t="str">
        <x:v>IGASAC</x:v>
      </x:c>
      <x:c r="C25" s="20" t="str">
        <x:v>B</x:v>
      </x:c>
      <x:c r="D25" s="19" t="str">
        <x:v>Industrial distributor</x:v>
      </x:c>
      <x:c r="E25" s="19" t="str">
        <x:v>Peru</x:v>
      </x:c>
      <x:c r="F25" s="19" t="str">
        <x:v>Bentonite; Calcium carbonate</x:v>
      </x:c>
      <x:c r="G25" s="19" t="str">
        <x:v>Common/aditivated bentonite and calcium carbonate.</x:v>
      </x:c>
      <x:c r="H25" s="19" t="str">
        <x:v>Publishes stock, delivery and after-sales service offers. Actual performance is untested.</x:v>
      </x:c>
      <x:c r="I25" s="19" t="str">
        <x:v>Confirm grade identity and documentation. Some catalogue labels are inconsistent.</x:v>
      </x:c>
      <x:c r="J25" s="19" t="str">
        <x:v>+51 971 749 754; website contact</x:v>
      </x:c>
      <x:c r="K25" s="22" t="str">
        <x:v>https://www.igasac.com/</x:v>
      </x:c>
      <x:c r="L25" s="11" t="str"/>
      <x:c r="M25" s="22" t="str">
        <x:v>https://www.igasac.com/</x:v>
      </x:c>
      <x:c r="N25" s="22" t="str"/>
      <x:c r="O25" s="19" t="str">
        <x:v>Company product listing</x:v>
      </x:c>
      <x:c r="P25" s="9" t="n">
        <x:v>1</x:v>
      </x:c>
      <x:c r="Q25" s="9" t="n">
        <x:v>0</x:v>
      </x:c>
      <x:c r="R25" s="9" t="n">
        <x:v>0</x:v>
      </x:c>
      <x:c r="S25" s="9" t="n">
        <x:v>1</x:v>
      </x:c>
    </x:row>
    <x:row r="26" ht="64" customHeight="1">
      <x:c r="A26" s="15" t="n">
        <x:v>21</x:v>
      </x:c>
      <x:c r="B26" s="16" t="str">
        <x:v>Esdel — Phartec Produce</x:v>
      </x:c>
      <x:c r="C26" s="17" t="str">
        <x:v>B</x:v>
      </x:c>
      <x:c r="D26" s="16" t="str">
        <x:v>Mineral supplier / processor</x:v>
      </x:c>
      <x:c r="E26" s="16" t="str">
        <x:v>Peru</x:v>
      </x:c>
      <x:c r="F26" s="16" t="str">
        <x:v>Bentonite; Calcium carbonate</x:v>
      </x:c>
      <x:c r="G26" s="16" t="str">
        <x:v>Industrial mineral sourcing through the Phartec Produce line.</x:v>
      </x:c>
      <x:c r="H26" s="16" t="str">
        <x:v>Dedicated industrial-minerals business line.</x:v>
      </x:c>
      <x:c r="I26" s="16" t="str">
        <x:v>Verify contracting entity, origin, exact mineral grades and export support.</x:v>
      </x:c>
      <x:c r="J26" s="16" t="str">
        <x:v>Website sales enquiry</x:v>
      </x:c>
      <x:c r="K26" s="21" t="str">
        <x:v>https://esdel.com.pe/</x:v>
      </x:c>
      <x:c r="L26" s="11" t="str"/>
      <x:c r="M26" s="21" t="str">
        <x:v>https://esdel.com.pe/phartec-produce/</x:v>
      </x:c>
      <x:c r="N26" s="21" t="str"/>
      <x:c r="O26" s="16" t="str">
        <x:v>Company product listing</x:v>
      </x:c>
      <x:c r="P26" s="9" t="n">
        <x:v>1</x:v>
      </x:c>
      <x:c r="Q26" s="9" t="n">
        <x:v>0</x:v>
      </x:c>
      <x:c r="R26" s="9" t="n">
        <x:v>0</x:v>
      </x:c>
      <x:c r="S26" s="9" t="n">
        <x:v>1</x:v>
      </x:c>
    </x:row>
    <x:row r="27" ht="64" customHeight="1">
      <x:c r="A27" s="18" t="n">
        <x:v>22</x:v>
      </x:c>
      <x:c r="B27" s="19" t="str">
        <x:v>Sesuveca del Peru</x:v>
      </x:c>
      <x:c r="C27" s="20" t="str">
        <x:v>B</x:v>
      </x:c>
      <x:c r="D27" s="19" t="str">
        <x:v>Industrial distributor</x:v>
      </x:c>
      <x:c r="E27" s="19" t="str">
        <x:v>Peru</x:v>
      </x:c>
      <x:c r="F27" s="19" t="str">
        <x:v>Bentonite</x:v>
      </x:c>
      <x:c r="G27" s="19" t="str">
        <x:v>Bentonite in industrial raw-material portfolio.</x:v>
      </x:c>
      <x:c r="H27" s="19" t="str">
        <x:v>Relevant published product catalogue and local distribution operation.</x:v>
      </x:c>
      <x:c r="I27" s="19" t="str">
        <x:v>Confirm active grade, source producer, TDS/SDS, MOQ and re-export terms.</x:v>
      </x:c>
      <x:c r="J27" s="19" t="str">
        <x:v>Website commercial contact</x:v>
      </x:c>
      <x:c r="K27" s="22" t="str">
        <x:v>https://sesuvecadelperu.com/</x:v>
      </x:c>
      <x:c r="L27" s="11" t="str"/>
      <x:c r="M27" s="22" t="str">
        <x:v>https://sesuvecadelperu.com/productos/</x:v>
      </x:c>
      <x:c r="N27" s="22" t="str"/>
      <x:c r="O27" s="19" t="str">
        <x:v>Company product listing</x:v>
      </x:c>
      <x:c r="P27" s="9" t="n">
        <x:v>1</x:v>
      </x:c>
      <x:c r="Q27" s="9" t="n">
        <x:v>0</x:v>
      </x:c>
      <x:c r="R27" s="9" t="n">
        <x:v>0</x:v>
      </x:c>
      <x:c r="S27" s="9" t="n">
        <x:v>0</x:v>
      </x:c>
    </x:row>
    <x:row r="28" ht="64" customHeight="1">
      <x:c r="A28" s="15" t="n">
        <x:v>23</x:v>
      </x:c>
      <x:c r="B28" s="16" t="str">
        <x:v>OLAH Group S.A.C.</x:v>
      </x:c>
      <x:c r="C28" s="17" t="str">
        <x:v>B</x:v>
      </x:c>
      <x:c r="D28" s="16" t="str">
        <x:v>Calcium carbonate producer</x:v>
      </x:c>
      <x:c r="E28" s="16" t="str">
        <x:v>Lurín / Lima; dispatch point to confirm</x:v>
      </x:c>
      <x:c r="F28" s="16" t="str">
        <x:v>Calcium carbonate</x:v>
      </x:c>
      <x:c r="G28" s="16" t="str">
        <x:v>Industrial/feed calcium carbonate from limestone.</x:v>
      </x:c>
      <x:c r="H28" s="16" t="str">
        <x:v>Company describes controlled granulometry and its own raw-material supply.</x:v>
      </x:c>
      <x:c r="I28" s="16" t="str">
        <x:v>Confirm legal identity, plant details, export references and representative laboratory results.</x:v>
      </x:c>
      <x:c r="J28" s="16" t="str">
        <x:v>Website contact; company LinkedIn</x:v>
      </x:c>
      <x:c r="K28" s="21" t="str">
        <x:v>https://olahgroup.quarksperu.com/</x:v>
      </x:c>
      <x:c r="L28" s="11" t="str"/>
      <x:c r="M28" s="21" t="str">
        <x:v>https://olahgroup.quarksperu.com/nosotros/</x:v>
      </x:c>
      <x:c r="N28" s="21" t="str">
        <x:v>https://www.linkedin.com/company/olah-group</x:v>
      </x:c>
      <x:c r="O28" s="16" t="str">
        <x:v>Company product listing</x:v>
      </x:c>
      <x:c r="P28" s="9" t="n">
        <x:v>0</x:v>
      </x:c>
      <x:c r="Q28" s="9" t="n">
        <x:v>0</x:v>
      </x:c>
      <x:c r="R28" s="9" t="n">
        <x:v>0</x:v>
      </x:c>
      <x:c r="S28" s="9" t="n">
        <x:v>1</x:v>
      </x:c>
    </x:row>
    <x:row r="29" ht="64" customHeight="1">
      <x:c r="A29" s="18" t="n">
        <x:v>24</x:v>
      </x:c>
      <x:c r="B29" s="19" t="str">
        <x:v>Bethlabs</x:v>
      </x:c>
      <x:c r="C29" s="20" t="str">
        <x:v>C</x:v>
      </x:c>
      <x:c r="D29" s="19" t="str">
        <x:v>Chemical distributor</x:v>
      </x:c>
      <x:c r="E29" s="19" t="str">
        <x:v>Barranco, Lima</x:v>
      </x:c>
      <x:c r="F29" s="19" t="str">
        <x:v>Kaolin; Calcium carbonate</x:v>
      </x:c>
      <x:c r="G29" s="19" t="str">
        <x:v>Published Peruvian kaolin and calcium carbonate sales pages.</x:v>
      </x:c>
      <x:c r="H29" s="19" t="str">
        <x:v>Publishes wholesale supply, technical advice and TDS/MSDS on request. Europe export is untested.</x:v>
      </x:c>
      <x:c r="I29" s="19" t="str">
        <x:v>Verify legal entity, location, manufacturer, wholesale quantity and documentation before RFQ.</x:v>
      </x:c>
      <x:c r="J29" s="19" t="str">
        <x:v>+51 990 605 227; website quotation</x:v>
      </x:c>
      <x:c r="K29" s="22" t="str">
        <x:v>https://productosquimicosindustriales.com/</x:v>
      </x:c>
      <x:c r="L29" s="11" t="str"/>
      <x:c r="M29" s="22" t="str">
        <x:v>https://productosquimicosindustriales.com/insumos-quimicos/caolin-en-peru-venta-y-distribucion-bethlabs/</x:v>
      </x:c>
      <x:c r="N29" s="22" t="str">
        <x:v>https://productosquimicosindustriales.com/insumos-quimicos/carbonato-de-calcio-en-peru-venta-y-distribucion-bethlabs/</x:v>
      </x:c>
      <x:c r="O29" s="19" t="str">
        <x:v>Indexed company listing; page access incomplete</x:v>
      </x:c>
      <x:c r="P29" s="9" t="n">
        <x:v>0</x:v>
      </x:c>
      <x:c r="Q29" s="9" t="n">
        <x:v>1</x:v>
      </x:c>
      <x:c r="R29" s="9" t="n">
        <x:v>0</x:v>
      </x:c>
      <x:c r="S29" s="9" t="n">
        <x:v>1</x:v>
      </x:c>
    </x:row>
    <x:row r="30" ht="64" customHeight="1">
      <x:c r="A30" s="15" t="n">
        <x:v>25</x:v>
      </x:c>
      <x:c r="B30" s="16" t="str">
        <x:v>Oregon Chem Group — Productos Industriales / Insumos Químicos</x:v>
      </x:c>
      <x:c r="C30" s="17" t="str">
        <x:v>C</x:v>
      </x:c>
      <x:c r="D30" s="16" t="str">
        <x:v>Chemical distributor / retailer</x:v>
      </x:c>
      <x:c r="E30" s="16" t="str">
        <x:v>Surquillo, Lima</x:v>
      </x:c>
      <x:c r="F30" s="16" t="str">
        <x:v>Bentonite; Kaolin; Calcium carbonate</x:v>
      </x:c>
      <x:c r="G30" s="16" t="str">
        <x:v>Kaolin M200, bentonite and calcium carbonate catalogue routes.</x:v>
      </x:c>
      <x:c r="H30" s="16" t="str">
        <x:v>Domestic delivery and wholesale enquiry. Two websites are grouped under Oregon, not counted twice.</x:v>
      </x:c>
      <x:c r="I30" s="16" t="str">
        <x:v>Small-pack listings do not prove bulk export capability. Confirm industrial grade and legal seller.</x:v>
      </x:c>
      <x:c r="J30" s="16" t="str">
        <x:v>contacto@insumosquimicos.pe; +51 1 748 1551</x:v>
      </x:c>
      <x:c r="K30" s="21" t="str">
        <x:v>https://www.productosindustriales.pe/</x:v>
      </x:c>
      <x:c r="L30" s="11" t="str"/>
      <x:c r="M30" s="21" t="str">
        <x:v>https://www.productosindustriales.pe/producto/caolin/</x:v>
      </x:c>
      <x:c r="N30" s="21" t="str">
        <x:v>https://insumosquimicos.pe/tienda/caolin/</x:v>
      </x:c>
      <x:c r="O30" s="16" t="str">
        <x:v>Company product listing</x:v>
      </x:c>
      <x:c r="P30" s="9" t="n">
        <x:v>1</x:v>
      </x:c>
      <x:c r="Q30" s="9" t="n">
        <x:v>1</x:v>
      </x:c>
      <x:c r="R30" s="9" t="n">
        <x:v>0</x:v>
      </x:c>
      <x:c r="S30" s="9" t="n">
        <x:v>1</x:v>
      </x:c>
    </x:row>
    <x:row r="31" ht="64" customHeight="1">
      <x:c r="A31" s="18" t="n">
        <x:v>26</x:v>
      </x:c>
      <x:c r="B31" s="19" t="str">
        <x:v>INTIGRAINS</x:v>
      </x:c>
      <x:c r="C31" s="20" t="str">
        <x:v>C</x:v>
      </x:c>
      <x:c r="D31" s="19" t="str">
        <x:v>Feed raw-material supplier</x:v>
      </x:c>
      <x:c r="E31" s="19" t="str">
        <x:v>Peru</x:v>
      </x:c>
      <x:c r="F31" s="19" t="str">
        <x:v>Calcium carbonate</x:v>
      </x:c>
      <x:c r="G31" s="19" t="str">
        <x:v>Powder/granulated calcium for animal nutrition.</x:v>
      </x:c>
      <x:c r="H31" s="19" t="str">
        <x:v>Specific feed-material product listing.</x:v>
      </x:c>
      <x:c r="I31" s="19" t="str">
        <x:v>Feed-grade route only. Do not assume coatings/paper grade; confirm chemistry and export quantities.</x:v>
      </x:c>
      <x:c r="J31" s="19" t="str">
        <x:v>Website enquiry form</x:v>
      </x:c>
      <x:c r="K31" s="22" t="str">
        <x:v>https://intigrains.com/</x:v>
      </x:c>
      <x:c r="L31" s="11" t="str"/>
      <x:c r="M31" s="22" t="str">
        <x:v>https://intigrains.com/product/calcio-granulado-polvo/</x:v>
      </x:c>
      <x:c r="N31" s="22" t="str"/>
      <x:c r="O31" s="19" t="str">
        <x:v>Company product listing</x:v>
      </x:c>
      <x:c r="P31" s="9" t="n">
        <x:v>0</x:v>
      </x:c>
      <x:c r="Q31" s="9" t="n">
        <x:v>0</x:v>
      </x:c>
      <x:c r="R31" s="9" t="n">
        <x:v>0</x:v>
      </x:c>
      <x:c r="S31" s="9" t="n">
        <x:v>1</x:v>
      </x:c>
    </x:row>
    <x:row r="32" ht="64" customHeight="1">
      <x:c r="A32" s="15" t="n">
        <x:v>27</x:v>
      </x:c>
      <x:c r="B32" s="16" t="str">
        <x:v>SICSA — Sílice Industrial Comercial</x:v>
      </x:c>
      <x:c r="C32" s="17" t="str">
        <x:v>C</x:v>
      </x:c>
      <x:c r="D32" s="16" t="str">
        <x:v>Miner / processor</x:v>
      </x:c>
      <x:c r="E32" s="16" t="str">
        <x:v>Huachipa Este, Huarochirí, Lima</x:v>
      </x:c>
      <x:c r="F32" s="16" t="str">
        <x:v>Calcium carbonate</x:v>
      </x:c>
      <x:c r="G32" s="16" t="str">
        <x:v>Calcium carbonate/limestone. Website lists coarse 4–15 inch material.</x:v>
      </x:c>
      <x:c r="H32" s="16" t="str">
        <x:v>Own-quarry and technical-advice claims with local industrial operation.</x:v>
      </x:c>
      <x:c r="I32" s="16" t="str">
        <x:v>Coarse material is not micronized GCC. Ask if finished powder is available before pursuing Europe supply.</x:v>
      </x:c>
      <x:c r="J32" s="16" t="str">
        <x:v>+51 965 379 487 / 488</x:v>
      </x:c>
      <x:c r="K32" s="21" t="str">
        <x:v>https://sicsa.pe/</x:v>
      </x:c>
      <x:c r="L32" s="11" t="str"/>
      <x:c r="M32" s="21" t="str">
        <x:v>https://sicsa.pe/productos</x:v>
      </x:c>
      <x:c r="N32" s="21" t="str">
        <x:v>https://sicsa.pe/la-empresa</x:v>
      </x:c>
      <x:c r="O32" s="16" t="str">
        <x:v>Company product listing</x:v>
      </x:c>
      <x:c r="P32" s="9" t="n">
        <x:v>0</x:v>
      </x:c>
      <x:c r="Q32" s="9" t="n">
        <x:v>0</x:v>
      </x:c>
      <x:c r="R32" s="9" t="n">
        <x:v>0</x:v>
      </x:c>
      <x:c r="S32" s="9" t="n">
        <x:v>1</x:v>
      </x:c>
    </x:row>
    <x:row r="33" ht="64" customHeight="1">
      <x:c r="A33" s="18" t="n">
        <x:v>28</x:v>
      </x:c>
      <x:c r="B33" s="19" t="str">
        <x:v>ABC Carbón S.A.C.</x:v>
      </x:c>
      <x:c r="C33" s="20" t="str">
        <x:v>C</x:v>
      </x:c>
      <x:c r="D33" s="19" t="str">
        <x:v>Miner / raw-material supplier</x:v>
      </x:c>
      <x:c r="E33" s="19" t="str">
        <x:v>Canta limestone deposits, Peru</x:v>
      </x:c>
      <x:c r="F33" s="19" t="str">
        <x:v>Calcium carbonate</x:v>
      </x:c>
      <x:c r="G33" s="19" t="str">
        <x:v>Limestone raw material, not confirmed finished GCC/PCC.</x:v>
      </x:c>
      <x:c r="H33" s="19" t="str">
        <x:v>Publishes limestone supply capability and links to safety/quality documents.</x:v>
      </x:c>
      <x:c r="I33" s="19" t="str">
        <x:v>Only relevant if MineTech wants raw limestone or toll grinding. Finished industrial powder unconfirmed.</x:v>
      </x:c>
      <x:c r="J33" s="19" t="str">
        <x:v>Website commercial contact</x:v>
      </x:c>
      <x:c r="K33" s="22" t="str">
        <x:v>https://abccarbon.com.pe/</x:v>
      </x:c>
      <x:c r="L33" s="11" t="str"/>
      <x:c r="M33" s="22" t="str">
        <x:v>https://abccarbon.com.pe/nuestros-productos/</x:v>
      </x:c>
      <x:c r="N33" s="22" t="str"/>
      <x:c r="O33" s="19" t="str">
        <x:v>Company product listing</x:v>
      </x:c>
      <x:c r="P33" s="9" t="n">
        <x:v>0</x:v>
      </x:c>
      <x:c r="Q33" s="9" t="n">
        <x:v>0</x:v>
      </x:c>
      <x:c r="R33" s="9" t="n">
        <x:v>0</x:v>
      </x:c>
      <x:c r="S33" s="9" t="n">
        <x:v>1</x:v>
      </x:c>
    </x:row>
    <x:row r="34" ht="64" customHeight="1">
      <x:c r="A34" s="15" t="n">
        <x:v>29</x:v>
      </x:c>
      <x:c r="B34" s="16" t="str">
        <x:v>DMG Drilling Peru</x:v>
      </x:c>
      <x:c r="C34" s="17" t="str">
        <x:v>C</x:v>
      </x:c>
      <x:c r="D34" s="16" t="str">
        <x:v>Drilling contractor / supplies</x:v>
      </x:c>
      <x:c r="E34" s="16" t="str">
        <x:v>Peru operation</x:v>
      </x:c>
      <x:c r="F34" s="16" t="str">
        <x:v>Bentonite</x:v>
      </x:c>
      <x:c r="G34" s="16" t="str">
        <x:v>Bentonite seals for wells/piezometers, not confirmed commodity powder.</x:v>
      </x:c>
      <x:c r="H34" s="16" t="str">
        <x:v>Project-specific drilling and well-product support.</x:v>
      </x:c>
      <x:c r="I34" s="16" t="str">
        <x:v>Confirm standalone material sales, OEM source and export. Low fit for general mineral resale.</x:v>
      </x:c>
      <x:c r="J34" s="16" t="str">
        <x:v>info@dmgdrilling.com; +51 999 993 688</x:v>
      </x:c>
      <x:c r="K34" s="21" t="str">
        <x:v>https://dmgdrilling.com/</x:v>
      </x:c>
      <x:c r="L34" s="11" t="str"/>
      <x:c r="M34" s="21" t="str">
        <x:v>https://dmgdrilling.com/perforacion/</x:v>
      </x:c>
      <x:c r="N34" s="21" t="str"/>
      <x:c r="O34" s="16" t="str">
        <x:v>Company product listing</x:v>
      </x:c>
      <x:c r="P34" s="9" t="n">
        <x:v>1</x:v>
      </x:c>
      <x:c r="Q34" s="9" t="n">
        <x:v>0</x:v>
      </x:c>
      <x:c r="R34" s="9" t="n">
        <x:v>0</x:v>
      </x:c>
      <x:c r="S34" s="9" t="n">
        <x:v>0</x:v>
      </x:c>
    </x:row>
    <x:row r="35" ht="64" customHeight="1">
      <x:c r="A35" s="18" t="n">
        <x:v>30</x:v>
      </x:c>
      <x:c r="B35" s="19" t="str">
        <x:v>TierraGel</x:v>
      </x:c>
      <x:c r="C35" s="20" t="str">
        <x:v>C</x:v>
      </x:c>
      <x:c r="D35" s="19" t="str">
        <x:v>Grounding materials supplier</x:v>
      </x:c>
      <x:c r="E35" s="19" t="str">
        <x:v>Peru</x:v>
      </x:c>
      <x:c r="F35" s="19" t="str">
        <x:v>Bentonite</x:v>
      </x:c>
      <x:c r="G35" s="19" t="str">
        <x:v>Grounding/earthing bentonite, advertised in bags.</x:v>
      </x:c>
      <x:c r="H35" s="19" t="str">
        <x:v>Local product-sales route.</x:v>
      </x:c>
      <x:c r="I35" s="19" t="str">
        <x:v>Grounding grade is not drilling/foundry/GCL approval. Bulk unmodified mineral and export unconfirmed.</x:v>
      </x:c>
      <x:c r="J35" s="19" t="str">
        <x:v>Website enquiry form</x:v>
      </x:c>
      <x:c r="K35" s="22" t="str">
        <x:v>https://www.tierragel.com/</x:v>
      </x:c>
      <x:c r="L35" s="11" t="str"/>
      <x:c r="M35" s="22" t="str">
        <x:v>https://www.tierragel.com/</x:v>
      </x:c>
      <x:c r="N35" s="22" t="str"/>
      <x:c r="O35" s="19" t="str">
        <x:v>Company product listing</x:v>
      </x:c>
      <x:c r="P35" s="9" t="n">
        <x:v>1</x:v>
      </x:c>
      <x:c r="Q35" s="9" t="n">
        <x:v>0</x:v>
      </x:c>
      <x:c r="R35" s="9" t="n">
        <x:v>0</x:v>
      </x:c>
      <x:c r="S35" s="9" t="n">
        <x:v>0</x:v>
      </x:c>
    </x:row>
  </x:sheetData>
  <x:conditionalFormatting sqref="C6:C35">
    <x:cfRule type="containsText" dxfId="0" priority="1" operator="containsText" text="C"/>
  </x:conditionalFormatting>
  <x:pageMargins left="0.7" right="0.7" top="0.75" bottom="0.75" header="0.3" footer="0.3"/>
  <x:tableParts count="1">
    <x:tablePart xmlns:r="http://schemas.openxmlformats.org/officeDocument/2006/relationships" r:id="Rc3100fb59ec14080"/>
  </x:tableParts>
</x:worksheet>
</file>

<file path=xl/worksheets/sheet3.xml><?xml version="1.0" encoding="utf-8"?>
<x:worksheet xmlns:x="http://schemas.openxmlformats.org/spreadsheetml/2006/main">
  <x:sheetPr>
    <x:tabColor rgb="FF24364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1" max="1" width="7" hidden="0" customWidth="1"/>
    <x:col min="2" max="2" width="36" hidden="0" customWidth="1"/>
    <x:col min="3" max="3" width="10" hidden="0" customWidth="1"/>
    <x:col min="4" max="4" width="28" hidden="0" customWidth="1"/>
    <x:col min="5" max="5" width="30" hidden="0" customWidth="1"/>
    <x:col min="6" max="6" width="30" hidden="0" customWidth="1"/>
    <x:col min="7" max="7" width="48" hidden="0" customWidth="1"/>
    <x:col min="8" max="8" width="48" hidden="0" customWidth="1"/>
    <x:col min="9" max="9" width="49" hidden="0" customWidth="1"/>
    <x:col min="10" max="10" width="38" hidden="0" customWidth="1"/>
    <x:col min="11" max="11" width="38" hidden="0" customWidth="1"/>
    <x:col min="12" max="12" width="3" hidden="0" customWidth="1"/>
    <x:col min="13" max="13" width="58" hidden="0" customWidth="1"/>
    <x:col min="14" max="14" width="58" hidden="0" customWidth="1"/>
    <x:col min="15" max="15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Czech Republic supplier priorities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4" t="str">
        <x:v>30 candidates across the four minerals. Rank is RFQ priority, not measured service performance.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 t="str">
        <x:v>Material flags: 1 = listed route, 0 = not identified. Includes limited-fit grades.</x:v>
      </x:c>
      <x:c r="Q3" s="2"/>
      <x:c r="R3" s="2"/>
      <x:c r="S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6" customHeight="1">
      <x:c r="A5" s="8" t="str">
        <x:v>Rank</x:v>
      </x:c>
      <x:c r="B5" s="8" t="str">
        <x:v>Supplier</x:v>
      </x:c>
      <x:c r="C5" s="8" t="str">
        <x:v>Priority</x:v>
      </x:c>
      <x:c r="D5" s="8" t="str">
        <x:v>Supplier type</x:v>
      </x:c>
      <x:c r="E5" s="8" t="str">
        <x:v>Location / origin note</x:v>
      </x:c>
      <x:c r="F5" s="8" t="str">
        <x:v>Materials</x:v>
      </x:c>
      <x:c r="G5" s="8" t="str">
        <x:v>Product / application fit</x:v>
      </x:c>
      <x:c r="H5" s="8" t="str">
        <x:v>Public service evidence</x:v>
      </x:c>
      <x:c r="I5" s="8" t="str">
        <x:v>Confirm before buying</x:v>
      </x:c>
      <x:c r="J5" s="8" t="str">
        <x:v>Public contact route</x:v>
      </x:c>
      <x:c r="K5" s="8" t="str">
        <x:v>Website</x:v>
      </x:c>
      <x:c r="L5" s="2" t="str"/>
      <x:c r="M5" s="8" t="str">
        <x:v>Source 1</x:v>
      </x:c>
      <x:c r="N5" s="8" t="str">
        <x:v>Source 2</x:v>
      </x:c>
      <x:c r="O5" s="8" t="str">
        <x:v>Evidence basis</x:v>
      </x:c>
      <x:c r="P5" s="8" t="str">
        <x:v>Bentonite</x:v>
      </x:c>
      <x:c r="Q5" s="8" t="str">
        <x:v>Kaolin</x:v>
      </x:c>
      <x:c r="R5" s="8" t="str">
        <x:v>Bleaching earth</x:v>
      </x:c>
      <x:c r="S5" s="8" t="str">
        <x:v>Calcium carbonate</x:v>
      </x:c>
    </x:row>
    <x:row r="6" ht="64" customHeight="1">
      <x:c r="A6" s="15" t="n">
        <x:v>1</x:v>
      </x:c>
      <x:c r="B6" s="16" t="str">
        <x:v>KERAMOST a.s.</x:v>
      </x:c>
      <x:c r="C6" s="17" t="str">
        <x:v>A</x:v>
      </x:c>
      <x:c r="D6" s="16" t="str">
        <x:v>Miner / processor</x:v>
      </x:c>
      <x:c r="E6" s="16" t="str">
        <x:v>Most and Czech production sites</x:v>
      </x:c>
      <x:c r="F6" s="16" t="str">
        <x:v>Bentonite; Kaolin</x:v>
      </x:c>
      <x:c r="G6" s="16" t="str">
        <x:v>Bentonite and kaolin/metakaolin range. Strong starting point for application-specific sourcing.</x:v>
      </x:c>
      <x:c r="H6" s="16" t="str">
        <x:v>Industrial mineral producer with product and certification sections.</x:v>
      </x:c>
      <x:c r="I6" s="16" t="str">
        <x:v>Request the exact drilling/foundry/GCL or kaolin grade, current COA and Netherlands delivery offer.</x:v>
      </x:c>
      <x:c r="J6" s="16" t="str">
        <x:v>keramost@keramost.cz; +420 476 442 501</x:v>
      </x:c>
      <x:c r="K6" s="21" t="str">
        <x:v>https://www.keramost.cz/en/</x:v>
      </x:c>
      <x:c r="L6" s="11" t="str"/>
      <x:c r="M6" s="21" t="str">
        <x:v>https://www.keramost.cz/en/products</x:v>
      </x:c>
      <x:c r="N6" s="21" t="str">
        <x:v>https://www.keramost.cz/en/certification</x:v>
      </x:c>
      <x:c r="O6" s="16" t="str">
        <x:v>Company product listing</x:v>
      </x:c>
      <x:c r="P6" s="9" t="n">
        <x:v>1</x:v>
      </x:c>
      <x:c r="Q6" s="9" t="n">
        <x:v>1</x:v>
      </x:c>
      <x:c r="R6" s="9" t="n">
        <x:v>0</x:v>
      </x:c>
      <x:c r="S6" s="9" t="n">
        <x:v>0</x:v>
      </x:c>
    </x:row>
    <x:row r="7" ht="64" customHeight="1">
      <x:c r="A7" s="18" t="n">
        <x:v>2</x:v>
      </x:c>
      <x:c r="B7" s="19" t="str">
        <x:v>Sedlecký kaolin a.s.</x:v>
      </x:c>
      <x:c r="C7" s="20" t="str">
        <x:v>A</x:v>
      </x:c>
      <x:c r="D7" s="19" t="str">
        <x:v>Miner / processor</x:v>
      </x:c>
      <x:c r="E7" s="19" t="str">
        <x:v>Božičany / Karlovy Vary region</x:v>
      </x:c>
      <x:c r="F7" s="19" t="str">
        <x:v>Kaolin; Bentonite</x:v>
      </x:c>
      <x:c r="G7" s="19" t="str">
        <x:v>Ceramic/industrial kaolin and bentonite range.</x:v>
      </x:c>
      <x:c r="H7" s="19" t="str">
        <x:v>Established mineral operation with multiple packing formats and published sales contacts.</x:v>
      </x:c>
      <x:c r="I7" s="19" t="str">
        <x:v>Match whiteness, PSD and rheology. Confirm specific bentonite applications and dispatch lead time.</x:v>
      </x:c>
      <x:c r="J7" s="19" t="str">
        <x:v>sales@sedlecky-kaolin.cz</x:v>
      </x:c>
      <x:c r="K7" s="22" t="str">
        <x:v>https://sedlecky-kaolin.com/</x:v>
      </x:c>
      <x:c r="L7" s="11" t="str"/>
      <x:c r="M7" s="22" t="str">
        <x:v>https://sedlecky-kaolin.com/contacts</x:v>
      </x:c>
      <x:c r="N7" s="22" t="str"/>
      <x:c r="O7" s="19" t="str">
        <x:v>Company product listing</x:v>
      </x:c>
      <x:c r="P7" s="9" t="n">
        <x:v>1</x:v>
      </x:c>
      <x:c r="Q7" s="9" t="n">
        <x:v>1</x:v>
      </x:c>
      <x:c r="R7" s="9" t="n">
        <x:v>0</x:v>
      </x:c>
      <x:c r="S7" s="9" t="n">
        <x:v>0</x:v>
      </x:c>
    </x:row>
    <x:row r="8" ht="64" customHeight="1">
      <x:c r="A8" s="15" t="n">
        <x:v>3</x:v>
      </x:c>
      <x:c r="B8" s="16" t="str">
        <x:v>LB MINERALS s.r.o.</x:v>
      </x:c>
      <x:c r="C8" s="17" t="str">
        <x:v>A</x:v>
      </x:c>
      <x:c r="D8" s="16" t="str">
        <x:v>Miner / processor</x:v>
      </x:c>
      <x:c r="E8" s="16" t="str">
        <x:v>Czech production network</x:v>
      </x:c>
      <x:c r="F8" s="16" t="str">
        <x:v>Kaolin</x:v>
      </x:c>
      <x:c r="G8" s="16" t="str">
        <x:v>Kaolin for ceramics and industrial raw-material applications.</x:v>
      </x:c>
      <x:c r="H8" s="16" t="str">
        <x:v>Dedicated mining and mineral-processing organisation.</x:v>
      </x:c>
      <x:c r="I8" s="16" t="str">
        <x:v>Confirm grade/plant, current certification, packaging and dispatch to Netherlands.</x:v>
      </x:c>
      <x:c r="J8" s="16" t="str">
        <x:v>Website commercial contact</x:v>
      </x:c>
      <x:c r="K8" s="21" t="str">
        <x:v>https://www.lb-minerals.cz/en</x:v>
      </x:c>
      <x:c r="L8" s="11" t="str"/>
      <x:c r="M8" s="21" t="str">
        <x:v>https://www.lb-minerals.cz/en</x:v>
      </x:c>
      <x:c r="N8" s="21" t="str"/>
      <x:c r="O8" s="16" t="str">
        <x:v>Company product listing</x:v>
      </x:c>
      <x:c r="P8" s="9" t="n">
        <x:v>0</x:v>
      </x:c>
      <x:c r="Q8" s="9" t="n">
        <x:v>1</x:v>
      </x:c>
      <x:c r="R8" s="9" t="n">
        <x:v>0</x:v>
      </x:c>
      <x:c r="S8" s="9" t="n">
        <x:v>0</x:v>
      </x:c>
    </x:row>
    <x:row r="9" ht="64" customHeight="1">
      <x:c r="A9" s="18" t="n">
        <x:v>4</x:v>
      </x:c>
      <x:c r="B9" s="19" t="str">
        <x:v>Sibelco — Hlubany</x:v>
      </x:c>
      <x:c r="C9" s="20" t="str">
        <x:v>A</x:v>
      </x:c>
      <x:c r="D9" s="19" t="str">
        <x:v>Producer / global group</x:v>
      </x:c>
      <x:c r="E9" s="19" t="str">
        <x:v>Hlubany, Czech Republic</x:v>
      </x:c>
      <x:c r="F9" s="19" t="str">
        <x:v>Kaolin</x:v>
      </x:c>
      <x:c r="G9" s="19" t="str">
        <x:v>Kaolin and ceramic raw materials from the Hlubany site.</x:v>
      </x:c>
      <x:c r="H9" s="19" t="str">
        <x:v>Global mineral organisation with a named Czech production location.</x:v>
      </x:c>
      <x:c r="I9" s="19" t="str">
        <x:v>Verify exact saleable kaolin grades, available tonnage and local sales ownership.</x:v>
      </x:c>
      <x:c r="J9" s="19" t="str">
        <x:v>Hlubany location contact</x:v>
      </x:c>
      <x:c r="K9" s="22" t="str">
        <x:v>https://www.sibelco.com/</x:v>
      </x:c>
      <x:c r="L9" s="11" t="str"/>
      <x:c r="M9" s="22" t="str">
        <x:v>https://www.sibelco.com/en/locations/hlubany</x:v>
      </x:c>
      <x:c r="N9" s="22" t="str"/>
      <x:c r="O9" s="19" t="str">
        <x:v>Company product listing</x:v>
      </x:c>
      <x:c r="P9" s="9" t="n">
        <x:v>0</x:v>
      </x:c>
      <x:c r="Q9" s="9" t="n">
        <x:v>1</x:v>
      </x:c>
      <x:c r="R9" s="9" t="n">
        <x:v>0</x:v>
      </x:c>
      <x:c r="S9" s="9" t="n">
        <x:v>0</x:v>
      </x:c>
    </x:row>
    <x:row r="10" ht="64" customHeight="1">
      <x:c r="A10" s="15" t="n">
        <x:v>5</x:v>
      </x:c>
      <x:c r="B10" s="16" t="str">
        <x:v>České lupkové závody — ČLUZ</x:v>
      </x:c>
      <x:c r="C10" s="17" t="str">
        <x:v>A</x:v>
      </x:c>
      <x:c r="D10" s="16" t="str">
        <x:v>Producer / processor</x:v>
      </x:c>
      <x:c r="E10" s="16" t="str">
        <x:v>Pecínov, Nové Strašecí</x:v>
      </x:c>
      <x:c r="F10" s="16" t="str">
        <x:v>Kaolin</x:v>
      </x:c>
      <x:c r="G10" s="16" t="str">
        <x:v>Burnt kaolin and metakaolin. Especially relevant to calcined/refractory applications.</x:v>
      </x:c>
      <x:c r="H10" s="16" t="str">
        <x:v>Publishes laboratory, logistics and proposal-to-delivery service.</x:v>
      </x:c>
      <x:c r="I10" s="16" t="str">
        <x:v>Not an automatic hydrous/coating-grade substitute. Specify calcination phase, brightness and PSD.</x:v>
      </x:c>
      <x:c r="J10" s="16" t="str">
        <x:v>cluz@cluz.cz; +420 313 332 111</x:v>
      </x:c>
      <x:c r="K10" s="21" t="str">
        <x:v>https://www.cluz.cz/en/</x:v>
      </x:c>
      <x:c r="L10" s="11" t="str"/>
      <x:c r="M10" s="21" t="str">
        <x:v>https://www.cluz.cz/en/</x:v>
      </x:c>
      <x:c r="N10" s="21" t="str"/>
      <x:c r="O10" s="16" t="str">
        <x:v>Company product listing</x:v>
      </x:c>
      <x:c r="P10" s="9" t="n">
        <x:v>0</x:v>
      </x:c>
      <x:c r="Q10" s="9" t="n">
        <x:v>1</x:v>
      </x:c>
      <x:c r="R10" s="9" t="n">
        <x:v>0</x:v>
      </x:c>
      <x:c r="S10" s="9" t="n">
        <x:v>0</x:v>
      </x:c>
    </x:row>
    <x:row r="11" ht="64" customHeight="1">
      <x:c r="A11" s="18" t="n">
        <x:v>6</x:v>
      </x:c>
      <x:c r="B11" s="19" t="str">
        <x:v>Omya Czech Republic</x:v>
      </x:c>
      <x:c r="C11" s="20" t="str">
        <x:v>A</x:v>
      </x:c>
      <x:c r="D11" s="19" t="str">
        <x:v>Producer / global group</x:v>
      </x:c>
      <x:c r="E11" s="19" t="str">
        <x:v>Czech Republic; relevant plant to confirm</x:v>
      </x:c>
      <x:c r="F11" s="19" t="str">
        <x:v>Calcium carbonate</x:v>
      </x:c>
      <x:c r="G11" s="19" t="str">
        <x:v>Omya-Cal / Czech-origin calcium carbonate product routes.</x:v>
      </x:c>
      <x:c r="H11" s="19" t="str">
        <x:v>Global grade-level TDS/SDS catalogue and technical product support.</x:v>
      </x:c>
      <x:c r="I11" s="19" t="str">
        <x:v>Confirm contracting company, Czech dispatch plant and exact grade for MineTech application.</x:v>
      </x:c>
      <x:c r="J11" s="19" t="str">
        <x:v>Omya product enquiry / sales contact</x:v>
      </x:c>
      <x:c r="K11" s="22" t="str">
        <x:v>https://www.omya.com/</x:v>
      </x:c>
      <x:c r="L11" s="11" t="str"/>
      <x:c r="M11" s="22" t="str">
        <x:v>https://products.omya.com/products/omya-cal-15-pz</x:v>
      </x:c>
      <x:c r="N11" s="22" t="str"/>
      <x:c r="O11" s="19" t="str">
        <x:v>Company product listing</x:v>
      </x:c>
      <x:c r="P11" s="9" t="n">
        <x:v>0</x:v>
      </x:c>
      <x:c r="Q11" s="9" t="n">
        <x:v>0</x:v>
      </x:c>
      <x:c r="R11" s="9" t="n">
        <x:v>0</x:v>
      </x:c>
      <x:c r="S11" s="9" t="n">
        <x:v>1</x:v>
      </x:c>
    </x:row>
    <x:row r="12" ht="64" customHeight="1">
      <x:c r="A12" s="15" t="n">
        <x:v>7</x:v>
      </x:c>
      <x:c r="B12" s="16" t="str">
        <x:v>Vápenka Vitošov</x:v>
      </x:c>
      <x:c r="C12" s="17" t="str">
        <x:v>B</x:v>
      </x:c>
      <x:c r="D12" s="16" t="str">
        <x:v>Miner / processor</x:v>
      </x:c>
      <x:c r="E12" s="16" t="str">
        <x:v>Vitošov</x:v>
      </x:c>
      <x:c r="F12" s="16" t="str">
        <x:v>Calcium carbonate</x:v>
      </x:c>
      <x:c r="G12" s="16" t="str">
        <x:v>Very finely ground limestone / calcium carbonate.</x:v>
      </x:c>
      <x:c r="H12" s="16" t="str">
        <x:v>Producer publishes a dedicated fine-limestone range.</x:v>
      </x:c>
      <x:c r="I12" s="16" t="str">
        <x:v>Confirm brightness, D50/D97, chemistry and suitability beyond construction applications.</x:v>
      </x:c>
      <x:c r="J12" s="16" t="str">
        <x:v>Website sales contact</x:v>
      </x:c>
      <x:c r="K12" s="21" t="str">
        <x:v>https://www.vitosov.cz/</x:v>
      </x:c>
      <x:c r="L12" s="11" t="str"/>
      <x:c r="M12" s="21" t="str">
        <x:v>https://www.vitosov.cz/vapno-a-vapenec/vapenec-velmi-jemne-mlety</x:v>
      </x:c>
      <x:c r="N12" s="21" t="str"/>
      <x:c r="O12" s="16" t="str">
        <x:v>Company product listing</x:v>
      </x:c>
      <x:c r="P12" s="9" t="n">
        <x:v>0</x:v>
      </x:c>
      <x:c r="Q12" s="9" t="n">
        <x:v>0</x:v>
      </x:c>
      <x:c r="R12" s="9" t="n">
        <x:v>0</x:v>
      </x:c>
      <x:c r="S12" s="9" t="n">
        <x:v>1</x:v>
      </x:c>
    </x:row>
    <x:row r="13" ht="64" customHeight="1">
      <x:c r="A13" s="18" t="n">
        <x:v>8</x:v>
      </x:c>
      <x:c r="B13" s="19" t="str">
        <x:v>Vápenka Vitoul</x:v>
      </x:c>
      <x:c r="C13" s="20" t="str">
        <x:v>B</x:v>
      </x:c>
      <x:c r="D13" s="19" t="str">
        <x:v>Miner / processor</x:v>
      </x:c>
      <x:c r="E13" s="19" t="str">
        <x:v>Měrotín</x:v>
      </x:c>
      <x:c r="F13" s="19" t="str">
        <x:v>Calcium carbonate</x:v>
      </x:c>
      <x:c r="G13" s="19" t="str">
        <x:v>Ground and graded limestone.</x:v>
      </x:c>
      <x:c r="H13" s="19" t="str">
        <x:v>Production and technical-document sections support grade screening.</x:v>
      </x:c>
      <x:c r="I13" s="19" t="str">
        <x:v>Confirm fineness, packing, bulk loading and delivered Netherlands cost.</x:v>
      </x:c>
      <x:c r="J13" s="19" t="str">
        <x:v>Website commercial contact</x:v>
      </x:c>
      <x:c r="K13" s="22" t="str">
        <x:v>https://www.vitoul.cz/</x:v>
      </x:c>
      <x:c r="L13" s="11" t="str"/>
      <x:c r="M13" s="22" t="str">
        <x:v>https://www.vitoul.cz/cs/vyroba</x:v>
      </x:c>
      <x:c r="N13" s="22" t="str">
        <x:v>https://www.vitoul.cz/cs/dokumenty</x:v>
      </x:c>
      <x:c r="O13" s="19" t="str">
        <x:v>Company product listing</x:v>
      </x:c>
      <x:c r="P13" s="9" t="n">
        <x:v>0</x:v>
      </x:c>
      <x:c r="Q13" s="9" t="n">
        <x:v>0</x:v>
      </x:c>
      <x:c r="R13" s="9" t="n">
        <x:v>0</x:v>
      </x:c>
      <x:c r="S13" s="9" t="n">
        <x:v>1</x:v>
      </x:c>
    </x:row>
    <x:row r="14" ht="64" customHeight="1">
      <x:c r="A14" s="15" t="n">
        <x:v>9</x:v>
      </x:c>
      <x:c r="B14" s="16" t="str">
        <x:v>Vápenka Čertovy schody — Lhoist</x:v>
      </x:c>
      <x:c r="C14" s="17" t="str">
        <x:v>B</x:v>
      </x:c>
      <x:c r="D14" s="16" t="str">
        <x:v>Miner / processor</x:v>
      </x:c>
      <x:c r="E14" s="16" t="str">
        <x:v>Tmaň / Koněprusy</x:v>
      </x:c>
      <x:c r="F14" s="16" t="str">
        <x:v>Calcium carbonate</x:v>
      </x:c>
      <x:c r="G14" s="16" t="str">
        <x:v>Ground limestone and limestone fillers.</x:v>
      </x:c>
      <x:c r="H14" s="16" t="str">
        <x:v>Czech industry association and government product records identify the producer.</x:v>
      </x:c>
      <x:c r="I14" s="16" t="str">
        <x:v>Order limestone/CaCO3 specifically, not quicklime. Confirm grade and current sales contact.</x:v>
      </x:c>
      <x:c r="J14" s="16" t="str">
        <x:v>Lhoist Czech commercial contact</x:v>
      </x:c>
      <x:c r="K14" s="21" t="str">
        <x:v>https://www.lhoist.com/</x:v>
      </x:c>
      <x:c r="L14" s="11" t="str"/>
      <x:c r="M14" s="21" t="str">
        <x:v>https://www.svvapno.cz/clenove-2/</x:v>
      </x:c>
      <x:c r="N14" s="21" t="str">
        <x:v>https://mze.gov.cz/ssl/nosso-app/DataKeStazeni/Hnojiva?collapsed=False&amp;page=12&amp;sortBy=-PLADO~NAZ~-PLADO~NAZ</x:v>
      </x:c>
      <x:c r="O14" s="16" t="str">
        <x:v>Industry association / government product record</x:v>
      </x:c>
      <x:c r="P14" s="9" t="n">
        <x:v>0</x:v>
      </x:c>
      <x:c r="Q14" s="9" t="n">
        <x:v>0</x:v>
      </x:c>
      <x:c r="R14" s="9" t="n">
        <x:v>0</x:v>
      </x:c>
      <x:c r="S14" s="9" t="n">
        <x:v>1</x:v>
      </x:c>
    </x:row>
    <x:row r="15" ht="64" customHeight="1">
      <x:c r="A15" s="18" t="n">
        <x:v>10</x:v>
      </x:c>
      <x:c r="B15" s="19" t="str">
        <x:v>Carmeuse Czech Republic</x:v>
      </x:c>
      <x:c r="C15" s="20" t="str">
        <x:v>B</x:v>
      </x:c>
      <x:c r="D15" s="19" t="str">
        <x:v>Miner / processor</x:v>
      </x:c>
      <x:c r="E15" s="19" t="str">
        <x:v>Mokrá and Czech sites</x:v>
      </x:c>
      <x:c r="F15" s="19" t="str">
        <x:v>Calcium carbonate</x:v>
      </x:c>
      <x:c r="G15" s="19" t="str">
        <x:v>Ground limestone / industrial filler route.</x:v>
      </x:c>
      <x:c r="H15" s="19" t="str">
        <x:v>Established Czech lime-and-limestone operation identified by industry association.</x:v>
      </x:c>
      <x:c r="I15" s="19" t="str">
        <x:v>Confirm carbonate grade and dispatch. Retrieved environmental certificate expired 18 June 2026; request renewed certificate.</x:v>
      </x:c>
      <x:c r="J15" s="19" t="str">
        <x:v>Carmeuse commercial enquiry</x:v>
      </x:c>
      <x:c r="K15" s="22" t="str">
        <x:v>https://www.carmeuse.com/</x:v>
      </x:c>
      <x:c r="L15" s="11" t="str"/>
      <x:c r="M15" s="22" t="str">
        <x:v>https://www.svvapno.cz/clenove-2/</x:v>
      </x:c>
      <x:c r="N15" s="22" t="str">
        <x:v>https://www.carmeuse.com/sites/default/files/2024-06/838_2023_ems_carmeuse_czech_republic_cjaj.pdf</x:v>
      </x:c>
      <x:c r="O15" s="19" t="str">
        <x:v>Industry association + company-hosted certificate (expired)</x:v>
      </x:c>
      <x:c r="P15" s="9" t="n">
        <x:v>0</x:v>
      </x:c>
      <x:c r="Q15" s="9" t="n">
        <x:v>0</x:v>
      </x:c>
      <x:c r="R15" s="9" t="n">
        <x:v>0</x:v>
      </x:c>
      <x:c r="S15" s="9" t="n">
        <x:v>1</x:v>
      </x:c>
    </x:row>
    <x:row r="16" ht="64" customHeight="1">
      <x:c r="A16" s="15" t="n">
        <x:v>11</x:v>
      </x:c>
      <x:c r="B16" s="16" t="str">
        <x:v>LB Cemix — Kotouč Štramberk</x:v>
      </x:c>
      <x:c r="C16" s="17" t="str">
        <x:v>B</x:v>
      </x:c>
      <x:c r="D16" s="16" t="str">
        <x:v>Mineral processor</x:v>
      </x:c>
      <x:c r="E16" s="16" t="str">
        <x:v>Štramberk</x:v>
      </x:c>
      <x:c r="F16" s="16" t="str">
        <x:v>Calcium carbonate</x:v>
      </x:c>
      <x:c r="G16" s="16" t="str">
        <x:v>VBS 40 milled limestone and related grades.</x:v>
      </x:c>
      <x:c r="H16" s="16" t="str">
        <x:v>Current company product page identifies the production plant and grade.</x:v>
      </x:c>
      <x:c r="I16" s="16" t="str">
        <x:v>Confirm coatings/paper fit versus construction filler. Same broad group as LB MINERALS, distinct operation.</x:v>
      </x:c>
      <x:c r="J16" s="16" t="str">
        <x:v>Cemix industrial sales contact</x:v>
      </x:c>
      <x:c r="K16" s="21" t="str">
        <x:v>https://www.cemix.cz/</x:v>
      </x:c>
      <x:c r="L16" s="11" t="str"/>
      <x:c r="M16" s="21" t="str">
        <x:v>https://www.cemix.cz/en/Industry/Products/Milled-limestone</x:v>
      </x:c>
      <x:c r="N16" s="21" t="str"/>
      <x:c r="O16" s="16" t="str">
        <x:v>Company product listing</x:v>
      </x:c>
      <x:c r="P16" s="9" t="n">
        <x:v>0</x:v>
      </x:c>
      <x:c r="Q16" s="9" t="n">
        <x:v>0</x:v>
      </x:c>
      <x:c r="R16" s="9" t="n">
        <x:v>0</x:v>
      </x:c>
      <x:c r="S16" s="9" t="n">
        <x:v>1</x:v>
      </x:c>
    </x:row>
    <x:row r="17" ht="64" customHeight="1">
      <x:c r="A17" s="18" t="n">
        <x:v>12</x:v>
      </x:c>
      <x:c r="B17" s="19" t="str">
        <x:v>Vodní sklo — TONASO / CARBOTON</x:v>
      </x:c>
      <x:c r="C17" s="20" t="str">
        <x:v>B</x:v>
      </x:c>
      <x:c r="D17" s="19" t="str">
        <x:v>Chemical producer</x:v>
      </x:c>
      <x:c r="E17" s="19" t="str">
        <x:v>Czech Republic; dispatch plant to confirm</x:v>
      </x:c>
      <x:c r="F17" s="19" t="str">
        <x:v>Calcium carbonate</x:v>
      </x:c>
      <x:c r="G17" s="19" t="str">
        <x:v>CARBOTON calcium carbonate suspension.</x:v>
      </x:c>
      <x:c r="H17" s="19" t="str">
        <x:v>Specific manufactured suspension product with a commercial contact route.</x:v>
      </x:c>
      <x:c r="I17" s="19" t="str">
        <x:v>Slurry is not dry powder. Confirm solids, viscosity, tank/bulk logistics and preservative system.</x:v>
      </x:c>
      <x:c r="J17" s="19" t="str">
        <x:v>placha@tonaso.cz; website contact</x:v>
      </x:c>
      <x:c r="K17" s="22" t="str">
        <x:v>https://vodnisklo.cz/en/</x:v>
      </x:c>
      <x:c r="L17" s="11" t="str"/>
      <x:c r="M17" s="22" t="str">
        <x:v>https://vodnisklo.cz/en/product/carboton-calcium-carbonate-suspension/</x:v>
      </x:c>
      <x:c r="N17" s="22" t="str"/>
      <x:c r="O17" s="19" t="str">
        <x:v>Company product listing</x:v>
      </x:c>
      <x:c r="P17" s="9" t="n">
        <x:v>0</x:v>
      </x:c>
      <x:c r="Q17" s="9" t="n">
        <x:v>0</x:v>
      </x:c>
      <x:c r="R17" s="9" t="n">
        <x:v>0</x:v>
      </x:c>
      <x:c r="S17" s="9" t="n">
        <x:v>1</x:v>
      </x:c>
    </x:row>
    <x:row r="18" ht="64" customHeight="1">
      <x:c r="A18" s="15" t="n">
        <x:v>13</x:v>
      </x:c>
      <x:c r="B18" s="16" t="str">
        <x:v>OQEMA Czech Republic</x:v>
      </x:c>
      <x:c r="C18" s="17" t="str">
        <x:v>B</x:v>
      </x:c>
      <x:c r="D18" s="16" t="str">
        <x:v>Chemical distributor</x:v>
      </x:c>
      <x:c r="E18" s="16" t="str">
        <x:v>Czech Republic</x:v>
      </x:c>
      <x:c r="F18" s="16" t="str">
        <x:v>Bentonite; Calcium carbonate</x:v>
      </x:c>
      <x:c r="G18" s="16" t="str">
        <x:v>Non-activated bentonite and calcium carbonate in country catalogue.</x:v>
      </x:c>
      <x:c r="H18" s="16" t="str">
        <x:v>Local product catalogue with packaging and direct commercial contact.</x:v>
      </x:c>
      <x:c r="I18" s="16" t="str">
        <x:v>Non-activated bentonite may need treatment. Confirm grade, source and export/re-sale terms.</x:v>
      </x:c>
      <x:c r="J18" s="16" t="str">
        <x:v>oqema@oqema.com; +420 597 485 910</x:v>
      </x:c>
      <x:c r="K18" s="21" t="str">
        <x:v>https://oqema.com/cz/en/</x:v>
      </x:c>
      <x:c r="L18" s="11" t="str"/>
      <x:c r="M18" s="21" t="str">
        <x:v>https://oqema.com/cz/cs/katalog-produktu/01t5q000000G7KdAAK/bentonit-neaktivovany</x:v>
      </x:c>
      <x:c r="N18" s="21" t="str">
        <x:v>https://oqema.com/cz/en/product-catalogue/01t5q000000G7QeAAK/calcium-carbonat</x:v>
      </x:c>
      <x:c r="O18" s="16" t="str">
        <x:v>Company product listing</x:v>
      </x:c>
      <x:c r="P18" s="9" t="n">
        <x:v>1</x:v>
      </x:c>
      <x:c r="Q18" s="9" t="n">
        <x:v>0</x:v>
      </x:c>
      <x:c r="R18" s="9" t="n">
        <x:v>0</x:v>
      </x:c>
      <x:c r="S18" s="9" t="n">
        <x:v>1</x:v>
      </x:c>
    </x:row>
    <x:row r="19" ht="64" customHeight="1">
      <x:c r="A19" s="18" t="n">
        <x:v>14</x:v>
      </x:c>
      <x:c r="B19" s="19" t="str">
        <x:v>ADASI</x:v>
      </x:c>
      <x:c r="C19" s="20" t="str">
        <x:v>B</x:v>
      </x:c>
      <x:c r="D19" s="19" t="str">
        <x:v>Drilling materials distributor</x:v>
      </x:c>
      <x:c r="E19" s="19" t="str">
        <x:v>Czech Republic</x:v>
      </x:c>
      <x:c r="F19" s="19" t="str">
        <x:v>Bentonite</x:v>
      </x:c>
      <x:c r="G19" s="19" t="str">
        <x:v>W Plus / OCMA drilling bentonite in 25 kg bags.</x:v>
      </x:c>
      <x:c r="H19" s="19" t="str">
        <x:v>Drilling-focused product catalogue with technical sheets.</x:v>
      </x:c>
      <x:c r="I19" s="19" t="str">
        <x:v>Verify current OCMA/API test performance, source plant and pallet/container price.</x:v>
      </x:c>
      <x:c r="J19" s="19" t="str">
        <x:v>Website commercial contact</x:v>
      </x:c>
      <x:c r="K19" s="22" t="str">
        <x:v>https://www.adasi.cz/</x:v>
      </x:c>
      <x:c r="L19" s="11" t="str"/>
      <x:c r="M19" s="22" t="str">
        <x:v>https://www.adasi.cz/-produkty</x:v>
      </x:c>
      <x:c r="N19" s="22" t="str"/>
      <x:c r="O19" s="19" t="str">
        <x:v>Company product listing</x:v>
      </x:c>
      <x:c r="P19" s="9" t="n">
        <x:v>1</x:v>
      </x:c>
      <x:c r="Q19" s="9" t="n">
        <x:v>0</x:v>
      </x:c>
      <x:c r="R19" s="9" t="n">
        <x:v>0</x:v>
      </x:c>
      <x:c r="S19" s="9" t="n">
        <x:v>0</x:v>
      </x:c>
    </x:row>
    <x:row r="20" ht="64" customHeight="1">
      <x:c r="A20" s="15" t="n">
        <x:v>15</x:v>
      </x:c>
      <x:c r="B20" s="16" t="str">
        <x:v>MEDIUM International I. — Bentonit Plus</x:v>
      </x:c>
      <x:c r="C20" s="17" t="str">
        <x:v>B</x:v>
      </x:c>
      <x:c r="D20" s="16" t="str">
        <x:v>Bentonite processor / supplier</x:v>
      </x:c>
      <x:c r="E20" s="16" t="str">
        <x:v>Czech Republic</x:v>
      </x:c>
      <x:c r="F20" s="16" t="str">
        <x:v>Bentonite</x:v>
      </x:c>
      <x:c r="G20" s="16" t="str">
        <x:v>Raw powder/granules and bentonite sealing products.</x:v>
      </x:c>
      <x:c r="H20" s="16" t="str">
        <x:v>Company describes European exports, including Belgium.</x:v>
      </x:c>
      <x:c r="I20" s="16" t="str">
        <x:v>Separate raw mineral from finished sealing systems. Confirm grading, GCL tests and packaging.</x:v>
      </x:c>
      <x:c r="J20" s="16" t="str">
        <x:v>medium@centrum.cz</x:v>
      </x:c>
      <x:c r="K20" s="21" t="str">
        <x:v>https://www.bentonit.cz/</x:v>
      </x:c>
      <x:c r="L20" s="11" t="str"/>
      <x:c r="M20" s="21" t="str">
        <x:v>https://www.bentonit.cz/o-firme/</x:v>
      </x:c>
      <x:c r="N20" s="21" t="str">
        <x:v>https://bentonit-plus.com/contact/</x:v>
      </x:c>
      <x:c r="O20" s="16" t="str">
        <x:v>Company product listing</x:v>
      </x:c>
      <x:c r="P20" s="9" t="n">
        <x:v>1</x:v>
      </x:c>
      <x:c r="Q20" s="9" t="n">
        <x:v>0</x:v>
      </x:c>
      <x:c r="R20" s="9" t="n">
        <x:v>0</x:v>
      </x:c>
      <x:c r="S20" s="9" t="n">
        <x:v>0</x:v>
      </x:c>
    </x:row>
    <x:row r="21" ht="64" customHeight="1">
      <x:c r="A21" s="18" t="n">
        <x:v>16</x:v>
      </x:c>
      <x:c r="B21" s="19" t="str">
        <x:v>Brenntag Czech Republic</x:v>
      </x:c>
      <x:c r="C21" s="20" t="str">
        <x:v>B</x:v>
      </x:c>
      <x:c r="D21" s="19" t="str">
        <x:v>Chemical distributor</x:v>
      </x:c>
      <x:c r="E21" s="19" t="str">
        <x:v>Czech Republic</x:v>
      </x:c>
      <x:c r="F21" s="19" t="str">
        <x:v>Calcium carbonate</x:v>
      </x:c>
      <x:c r="G21" s="19" t="str">
        <x:v>Calcium carbonate product route.</x:v>
      </x:c>
      <x:c r="H21" s="19" t="str">
        <x:v>Local-language catalogue and established distribution network.</x:v>
      </x:c>
      <x:c r="I21" s="19" t="str">
        <x:v>Request country stock, original producer, industrial grade and re-sale terms.</x:v>
      </x:c>
      <x:c r="J21" s="19" t="str">
        <x:v>Czech product enquiry</x:v>
      </x:c>
      <x:c r="K21" s="22" t="str">
        <x:v>https://www.brenntag.com/cs-cz/</x:v>
      </x:c>
      <x:c r="L21" s="11" t="str"/>
      <x:c r="M21" s="22" t="str">
        <x:v>https://www.brenntag.com/cs-cz/produkty/uhlicitan-vapenaty.html</x:v>
      </x:c>
      <x:c r="N21" s="22" t="str"/>
      <x:c r="O21" s="19" t="str">
        <x:v>Company product listing</x:v>
      </x:c>
      <x:c r="P21" s="9" t="n">
        <x:v>0</x:v>
      </x:c>
      <x:c r="Q21" s="9" t="n">
        <x:v>0</x:v>
      </x:c>
      <x:c r="R21" s="9" t="n">
        <x:v>0</x:v>
      </x:c>
      <x:c r="S21" s="9" t="n">
        <x:v>1</x:v>
      </x:c>
    </x:row>
    <x:row r="22" ht="64" customHeight="1">
      <x:c r="A22" s="15" t="n">
        <x:v>17</x:v>
      </x:c>
      <x:c r="B22" s="16" t="str">
        <x:v>Nano Chemi Group</x:v>
      </x:c>
      <x:c r="C22" s="17" t="str">
        <x:v>B</x:v>
      </x:c>
      <x:c r="D22" s="16" t="str">
        <x:v>Industrial materials distributor</x:v>
      </x:c>
      <x:c r="E22" s="16" t="str">
        <x:v>Czech Republic</x:v>
      </x:c>
      <x:c r="F22" s="16" t="str">
        <x:v>Calcium carbonate</x:v>
      </x:c>
      <x:c r="G22" s="16" t="str">
        <x:v>Calcium carbonate in industrial material portfolio.</x:v>
      </x:c>
      <x:c r="H22" s="16" t="str">
        <x:v>Product-specific technical sourcing enquiry route.</x:v>
      </x:c>
      <x:c r="I22" s="16" t="str">
        <x:v>Confirm particle size, manufacturer, stock origin and bulk availability.</x:v>
      </x:c>
      <x:c r="J22" s="16" t="str">
        <x:v>Website commercial enquiry</x:v>
      </x:c>
      <x:c r="K22" s="21" t="str">
        <x:v>https://www.nanochemigroup.cz/en/</x:v>
      </x:c>
      <x:c r="L22" s="11" t="str"/>
      <x:c r="M22" s="21" t="str">
        <x:v>https://www.nanochemigroup.cz/en/materials/uhlicitan-vapenaty</x:v>
      </x:c>
      <x:c r="N22" s="21" t="str"/>
      <x:c r="O22" s="16" t="str">
        <x:v>Company product listing</x:v>
      </x:c>
      <x:c r="P22" s="9" t="n">
        <x:v>0</x:v>
      </x:c>
      <x:c r="Q22" s="9" t="n">
        <x:v>0</x:v>
      </x:c>
      <x:c r="R22" s="9" t="n">
        <x:v>0</x:v>
      </x:c>
      <x:c r="S22" s="9" t="n">
        <x:v>1</x:v>
      </x:c>
    </x:row>
    <x:row r="23" ht="64" customHeight="1">
      <x:c r="A23" s="18" t="n">
        <x:v>18</x:v>
      </x:c>
      <x:c r="B23" s="19" t="str">
        <x:v>Nordmann Czech Republic</x:v>
      </x:c>
      <x:c r="C23" s="20" t="str">
        <x:v>B</x:v>
      </x:c>
      <x:c r="D23" s="19" t="str">
        <x:v>Specialty distributor</x:v>
      </x:c>
      <x:c r="E23" s="19" t="str">
        <x:v>Czech Republic office</x:v>
      </x:c>
      <x:c r="F23" s="19" t="str">
        <x:v>Calcium carbonate; Kaolin</x:v>
      </x:c>
      <x:c r="G23" s="19" t="str">
        <x:v>HuberCal calcium carbonate. Group also lists CADAM kaolin; local kaolin availability to confirm.</x:v>
      </x:c>
      <x:c r="H23" s="19" t="str">
        <x:v>Local office and branded technical product portfolio.</x:v>
      </x:c>
      <x:c r="I23" s="19" t="str">
        <x:v>Confirm which grades are sold by the Czech entity and whether they suit commodity mineral resale.</x:v>
      </x:c>
      <x:c r="J23" s="19" t="str">
        <x:v>Czech office enquiry</x:v>
      </x:c>
      <x:c r="K23" s="22" t="str">
        <x:v>https://www.nordmann.global/cs/nordmann-ceska-republika</x:v>
      </x:c>
      <x:c r="L23" s="11" t="str"/>
      <x:c r="M23" s="22" t="str">
        <x:v>https://www.nordmann.global/cs/produkty/hubercal-r-ccg-4101-usp</x:v>
      </x:c>
      <x:c r="N23" s="22" t="str">
        <x:v>https://www.nordmann.global/de/produktportfolio/cadam-gloss-ag</x:v>
      </x:c>
      <x:c r="O23" s="19" t="str">
        <x:v>Local carbonate listing; group-level kaolin route</x:v>
      </x:c>
      <x:c r="P23" s="9" t="n">
        <x:v>0</x:v>
      </x:c>
      <x:c r="Q23" s="9" t="n">
        <x:v>1</x:v>
      </x:c>
      <x:c r="R23" s="9" t="n">
        <x:v>0</x:v>
      </x:c>
      <x:c r="S23" s="9" t="n">
        <x:v>1</x:v>
      </x:c>
    </x:row>
    <x:row r="24" ht="64" customHeight="1">
      <x:c r="A24" s="15" t="n">
        <x:v>19</x:v>
      </x:c>
      <x:c r="B24" s="16" t="str">
        <x:v>Delta Chem</x:v>
      </x:c>
      <x:c r="C24" s="17" t="str">
        <x:v>B</x:v>
      </x:c>
      <x:c r="D24" s="16" t="str">
        <x:v>Chemical distributor</x:v>
      </x:c>
      <x:c r="E24" s="16" t="str">
        <x:v>Czech Republic</x:v>
      </x:c>
      <x:c r="F24" s="16" t="str">
        <x:v>Bentonite</x:v>
      </x:c>
      <x:c r="G24" s="16" t="str">
        <x:v>Bentonite in chemical product catalogue.</x:v>
      </x:c>
      <x:c r="H24" s="16" t="str">
        <x:v>Direct product list and enquiry channel.</x:v>
      </x:c>
      <x:c r="I24" s="16" t="str">
        <x:v>Confirm activation, grade, quantity, source and export-ready documentation.</x:v>
      </x:c>
      <x:c r="J24" s="16" t="str">
        <x:v>Website commercial contact</x:v>
      </x:c>
      <x:c r="K24" s="21" t="str">
        <x:v>https://www.deltachem.cz/</x:v>
      </x:c>
      <x:c r="L24" s="11" t="str"/>
      <x:c r="M24" s="21" t="str">
        <x:v>https://www.deltachem.cz/produkty.html</x:v>
      </x:c>
      <x:c r="N24" s="21" t="str"/>
      <x:c r="O24" s="16" t="str">
        <x:v>Company product listing</x:v>
      </x:c>
      <x:c r="P24" s="9" t="n">
        <x:v>1</x:v>
      </x:c>
      <x:c r="Q24" s="9" t="n">
        <x:v>0</x:v>
      </x:c>
      <x:c r="R24" s="9" t="n">
        <x:v>0</x:v>
      </x:c>
      <x:c r="S24" s="9" t="n">
        <x:v>0</x:v>
      </x:c>
    </x:row>
    <x:row r="25" ht="64" customHeight="1">
      <x:c r="A25" s="18" t="n">
        <x:v>20</x:v>
      </x:c>
      <x:c r="B25" s="19" t="str">
        <x:v>HEXA CHEM</x:v>
      </x:c>
      <x:c r="C25" s="20" t="str">
        <x:v>B</x:v>
      </x:c>
      <x:c r="D25" s="19" t="str">
        <x:v>Chemical distributor</x:v>
      </x:c>
      <x:c r="E25" s="19" t="str">
        <x:v>Czech Republic</x:v>
      </x:c>
      <x:c r="F25" s="19" t="str">
        <x:v>Bentonite; Calcium carbonate</x:v>
      </x:c>
      <x:c r="G25" s="19" t="str">
        <x:v>Bentonite 1,008 kg listing and laboratory calcium carbonate 25 kg.</x:v>
      </x:c>
      <x:c r="H25" s="19" t="str">
        <x:v>Bentonite listing gives a meaningful bulk enquiry size.</x:v>
      </x:c>
      <x:c r="I25" s="19" t="str">
        <x:v>Confirm current stock, bentonite properties and whether industrial carbonate is available.</x:v>
      </x:c>
      <x:c r="J25" s="19" t="str">
        <x:v>Website quotation / contact</x:v>
      </x:c>
      <x:c r="K25" s="22" t="str">
        <x:v>https://eshop.hexachem.cz/</x:v>
      </x:c>
      <x:c r="L25" s="11" t="str"/>
      <x:c r="M25" s="22" t="str">
        <x:v>https://eshop.hexachem.cz/pevne-latky/bentonit-1008-kg/</x:v>
      </x:c>
      <x:c r="N25" s="22" t="str">
        <x:v>https://eshop.hexachem.cz/pevne-latky/uhlicitan-vapenaty-p-a-25-kg/</x:v>
      </x:c>
      <x:c r="O25" s="19" t="str">
        <x:v>Company product listing</x:v>
      </x:c>
      <x:c r="P25" s="9" t="n">
        <x:v>1</x:v>
      </x:c>
      <x:c r="Q25" s="9" t="n">
        <x:v>0</x:v>
      </x:c>
      <x:c r="R25" s="9" t="n">
        <x:v>0</x:v>
      </x:c>
      <x:c r="S25" s="9" t="n">
        <x:v>1</x:v>
      </x:c>
    </x:row>
    <x:row r="26" ht="64" customHeight="1">
      <x:c r="A26" s="15" t="n">
        <x:v>21</x:v>
      </x:c>
      <x:c r="B26" s="16" t="str">
        <x:v>PCC MORAVA-CHEM — Distripark</x:v>
      </x:c>
      <x:c r="C26" s="17" t="str">
        <x:v>B</x:v>
      </x:c>
      <x:c r="D26" s="16" t="str">
        <x:v>Chemical distributor</x:v>
      </x:c>
      <x:c r="E26" s="16" t="str">
        <x:v>Czech Republic</x:v>
      </x:c>
      <x:c r="F26" s="16" t="str">
        <x:v>Calcium carbonate</x:v>
      </x:c>
      <x:c r="G26" s="16" t="str">
        <x:v>Precipitated calcium carbonate, 25 kg listing.</x:v>
      </x:c>
      <x:c r="H26" s="16" t="str">
        <x:v>B2B ordering and defined packaging.</x:v>
      </x:c>
      <x:c r="I26" s="16" t="str">
        <x:v>Confirm grade/specification, manufacturer and pallet or bulk export price.</x:v>
      </x:c>
      <x:c r="J26" s="16" t="str">
        <x:v>Distripark B2B sales enquiry</x:v>
      </x:c>
      <x:c r="K26" s="21" t="str">
        <x:v>https://www.distriparkb2b.cz/</x:v>
      </x:c>
      <x:c r="L26" s="11" t="str"/>
      <x:c r="M26" s="21" t="str">
        <x:v>https://www.distriparkb2b.cz/x13224/uhlicitan-vapenaty-srazeny-25-kg</x:v>
      </x:c>
      <x:c r="N26" s="21" t="str"/>
      <x:c r="O26" s="16" t="str">
        <x:v>Company product listing</x:v>
      </x:c>
      <x:c r="P26" s="9" t="n">
        <x:v>0</x:v>
      </x:c>
      <x:c r="Q26" s="9" t="n">
        <x:v>0</x:v>
      </x:c>
      <x:c r="R26" s="9" t="n">
        <x:v>0</x:v>
      </x:c>
      <x:c r="S26" s="9" t="n">
        <x:v>1</x:v>
      </x:c>
    </x:row>
    <x:row r="27" ht="64" customHeight="1">
      <x:c r="A27" s="18" t="n">
        <x:v>22</x:v>
      </x:c>
      <x:c r="B27" s="19" t="str">
        <x:v>IMCD Czech Republic</x:v>
      </x:c>
      <x:c r="C27" s="20" t="str">
        <x:v>C</x:v>
      </x:c>
      <x:c r="D27" s="19" t="str">
        <x:v>Specialty distributor</x:v>
      </x:c>
      <x:c r="E27" s="19" t="str">
        <x:v>Czech Republic office</x:v>
      </x:c>
      <x:c r="F27" s="19" t="str">
        <x:v>Kaolin</x:v>
      </x:c>
      <x:c r="G27" s="19" t="str">
        <x:v>Group coatings/construction portfolio includes kaolin. Czech grade supply not verified.</x:v>
      </x:c>
      <x:c r="H27" s="19" t="str">
        <x:v>Local office plus global application-support network.</x:v>
      </x:c>
      <x:c r="I27" s="19" t="str">
        <x:v>Pre-screen local availability and origin before treating as an active supplier.</x:v>
      </x:c>
      <x:c r="J27" s="19" t="str">
        <x:v>Czech office contact</x:v>
      </x:c>
      <x:c r="K27" s="22" t="str">
        <x:v>https://www.imcd.cz/</x:v>
      </x:c>
      <x:c r="L27" s="11" t="str"/>
      <x:c r="M27" s="22" t="str">
        <x:v>https://www.imcdgroup.com/business-groups/coatings-and-construction/product-offering</x:v>
      </x:c>
      <x:c r="N27" s="22" t="str">
        <x:v>https://www.imcd.cz/</x:v>
      </x:c>
      <x:c r="O27" s="19" t="str">
        <x:v>Local office + group product only</x:v>
      </x:c>
      <x:c r="P27" s="9" t="n">
        <x:v>0</x:v>
      </x:c>
      <x:c r="Q27" s="9" t="n">
        <x:v>1</x:v>
      </x:c>
      <x:c r="R27" s="9" t="n">
        <x:v>0</x:v>
      </x:c>
      <x:c r="S27" s="9" t="n">
        <x:v>0</x:v>
      </x:c>
    </x:row>
    <x:row r="28" ht="64" customHeight="1">
      <x:c r="A28" s="15" t="n">
        <x:v>23</x:v>
      </x:c>
      <x:c r="B28" s="16" t="str">
        <x:v>Biesterfeld Silcom</x:v>
      </x:c>
      <x:c r="C28" s="17" t="str">
        <x:v>C</x:v>
      </x:c>
      <x:c r="D28" s="16" t="str">
        <x:v>Specialty distributor</x:v>
      </x:c>
      <x:c r="E28" s="16" t="str">
        <x:v>Czech Republic</x:v>
      </x:c>
      <x:c r="F28" s="16" t="str">
        <x:v>Kaolin</x:v>
      </x:c>
      <x:c r="G28" s="16" t="str">
        <x:v>Pharmakaolin B 860 distribution route, announced for Czech Republic in 2019.</x:v>
      </x:c>
      <x:c r="H28" s="16" t="str">
        <x:v>Specialty technical distribution route with a Czech operation.</x:v>
      </x:c>
      <x:c r="I28" s="16" t="str">
        <x:v>Historic agreement and pharma/cosmetics grade. Verify current rights and bulk industrial alternatives.</x:v>
      </x:c>
      <x:c r="J28" s="16" t="str">
        <x:v>Czech commercial contact</x:v>
      </x:c>
      <x:c r="K28" s="21" t="str">
        <x:v>https://www.bisi.cz/</x:v>
      </x:c>
      <x:c r="L28" s="11" t="str"/>
      <x:c r="M28" s="21" t="str">
        <x:v>https://www.biesterfeld.com/en/us/article/biesterfeld-receives-exclusive-distribution-rights-for-kaolin/</x:v>
      </x:c>
      <x:c r="N28" s="21" t="str">
        <x:v>https://www.bisi.cz/</x:v>
      </x:c>
      <x:c r="O28" s="16" t="str">
        <x:v>Historical grade agreement + current local site</x:v>
      </x:c>
      <x:c r="P28" s="9" t="n">
        <x:v>0</x:v>
      </x:c>
      <x:c r="Q28" s="9" t="n">
        <x:v>1</x:v>
      </x:c>
      <x:c r="R28" s="9" t="n">
        <x:v>0</x:v>
      </x:c>
      <x:c r="S28" s="9" t="n">
        <x:v>0</x:v>
      </x:c>
    </x:row>
    <x:row r="29" ht="64" customHeight="1">
      <x:c r="A29" s="18" t="n">
        <x:v>24</x:v>
      </x:c>
      <x:c r="B29" s="19" t="str">
        <x:v>KERSIAL Pro</x:v>
      </x:c>
      <x:c r="C29" s="20" t="str">
        <x:v>C</x:v>
      </x:c>
      <x:c r="D29" s="19" t="str">
        <x:v>Ceramic raw-material trader</x:v>
      </x:c>
      <x:c r="E29" s="19" t="str">
        <x:v>Czech Republic</x:v>
      </x:c>
      <x:c r="F29" s="19" t="str">
        <x:v>Kaolin</x:v>
      </x:c>
      <x:c r="G29" s="19" t="str">
        <x:v>Ceramic raw-material trading; kaolin identified in company directory.</x:v>
      </x:c>
      <x:c r="H29" s="19" t="str">
        <x:v>Company site describes raw-material trade.</x:v>
      </x:c>
      <x:c r="I29" s="19" t="str">
        <x:v>Kaolin availability needs direct confirmation. Check legal seller, current grades and bulk terms.</x:v>
      </x:c>
      <x:c r="J29" s="19" t="str">
        <x:v>Website commercial contact</x:v>
      </x:c>
      <x:c r="K29" s="22" t="str">
        <x:v>https://kersial.cz/</x:v>
      </x:c>
      <x:c r="L29" s="11" t="str"/>
      <x:c r="M29" s="22" t="str">
        <x:v>https://kersial.cz/page1.html</x:v>
      </x:c>
      <x:c r="N29" s="22" t="str">
        <x:v>https://cz.kompass.com/c/kersial-pro-s-r-o/cz037595/</x:v>
      </x:c>
      <x:c r="O29" s="19" t="str">
        <x:v>Company activity + directory product classification</x:v>
      </x:c>
      <x:c r="P29" s="9" t="n">
        <x:v>0</x:v>
      </x:c>
      <x:c r="Q29" s="9" t="n">
        <x:v>1</x:v>
      </x:c>
      <x:c r="R29" s="9" t="n">
        <x:v>0</x:v>
      </x:c>
      <x:c r="S29" s="9" t="n">
        <x:v>0</x:v>
      </x:c>
    </x:row>
    <x:row r="30" ht="64" customHeight="1">
      <x:c r="A30" s="15" t="n">
        <x:v>25</x:v>
      </x:c>
      <x:c r="B30" s="16" t="str">
        <x:v>MACH CHEMIKÁLIE</x:v>
      </x:c>
      <x:c r="C30" s="17" t="str">
        <x:v>C</x:v>
      </x:c>
      <x:c r="D30" s="16" t="str">
        <x:v>Chemical distributor</x:v>
      </x:c>
      <x:c r="E30" s="16" t="str">
        <x:v>Ostrava</x:v>
      </x:c>
      <x:c r="F30" s="16" t="str">
        <x:v>Calcium carbonate</x:v>
      </x:c>
      <x:c r="G30" s="16" t="str">
        <x:v>Calcium carbonate with supplier safety sheet.</x:v>
      </x:c>
      <x:c r="H30" s="16" t="str">
        <x:v>Published SDS identifies a direct Czech supplier.</x:v>
      </x:c>
      <x:c r="I30" s="16" t="str">
        <x:v>Grade/packing and bulk economics unconfirmed. Ask for industrial rather than reagent grade.</x:v>
      </x:c>
      <x:c r="J30" s="16" t="str">
        <x:v>chemie@mach-chemikalie.cz; +420 596 244 841</x:v>
      </x:c>
      <x:c r="K30" s="21" t="str">
        <x:v>https://www.mach-chemikalie.cz/</x:v>
      </x:c>
      <x:c r="L30" s="11" t="str"/>
      <x:c r="M30" s="21" t="str">
        <x:v>https://www.mach-chemikalie.cz/wp-content/uploads/2024/11/80.-uhlicitan-vapenaty.pdf</x:v>
      </x:c>
      <x:c r="N30" s="21" t="str"/>
      <x:c r="O30" s="16" t="str">
        <x:v>Company product listing</x:v>
      </x:c>
      <x:c r="P30" s="9" t="n">
        <x:v>0</x:v>
      </x:c>
      <x:c r="Q30" s="9" t="n">
        <x:v>0</x:v>
      </x:c>
      <x:c r="R30" s="9" t="n">
        <x:v>0</x:v>
      </x:c>
      <x:c r="S30" s="9" t="n">
        <x:v>1</x:v>
      </x:c>
    </x:row>
    <x:row r="31" ht="64" customHeight="1">
      <x:c r="A31" s="18" t="n">
        <x:v>26</x:v>
      </x:c>
      <x:c r="B31" s="19" t="str">
        <x:v>PENTA</x:v>
      </x:c>
      <x:c r="C31" s="20" t="str">
        <x:v>C</x:v>
      </x:c>
      <x:c r="D31" s="19" t="str">
        <x:v>Laboratory chemical producer / supplier</x:v>
      </x:c>
      <x:c r="E31" s="19" t="str">
        <x:v>Czech Republic</x:v>
      </x:c>
      <x:c r="F31" s="19" t="str">
        <x:v>Calcium carbonate</x:v>
      </x:c>
      <x:c r="G31" s="19" t="str">
        <x:v>Precipitated calcium carbonate.</x:v>
      </x:c>
      <x:c r="H31" s="19" t="str">
        <x:v>Dedicated chemical catalogue and specification route.</x:v>
      </x:c>
      <x:c r="I31" s="19" t="str">
        <x:v>Reagent-focused route. Confirm bulk industrial grade before pursuing commodity resale.</x:v>
      </x:c>
      <x:c r="J31" s="19" t="str">
        <x:v>Website commercial contact</x:v>
      </x:c>
      <x:c r="K31" s="22" t="str">
        <x:v>https://www.pentachemicals.eu/</x:v>
      </x:c>
      <x:c r="L31" s="11" t="str"/>
      <x:c r="M31" s="22" t="str">
        <x:v>https://www.pentachemicals.eu/en/chemicals/calcium-carbonate-precipitated-513</x:v>
      </x:c>
      <x:c r="N31" s="22" t="str"/>
      <x:c r="O31" s="19" t="str">
        <x:v>Company product listing</x:v>
      </x:c>
      <x:c r="P31" s="9" t="n">
        <x:v>0</x:v>
      </x:c>
      <x:c r="Q31" s="9" t="n">
        <x:v>0</x:v>
      </x:c>
      <x:c r="R31" s="9" t="n">
        <x:v>0</x:v>
      </x:c>
      <x:c r="S31" s="9" t="n">
        <x:v>1</x:v>
      </x:c>
    </x:row>
    <x:row r="32" ht="64" customHeight="1">
      <x:c r="A32" s="15" t="n">
        <x:v>27</x:v>
      </x:c>
      <x:c r="B32" s="16" t="str">
        <x:v>VERKON</x:v>
      </x:c>
      <x:c r="C32" s="17" t="str">
        <x:v>C</x:v>
      </x:c>
      <x:c r="D32" s="16" t="str">
        <x:v>Laboratory distributor</x:v>
      </x:c>
      <x:c r="E32" s="16" t="str">
        <x:v>Czech Republic</x:v>
      </x:c>
      <x:c r="F32" s="16" t="str">
        <x:v>Calcium carbonate</x:v>
      </x:c>
      <x:c r="G32" s="16" t="str">
        <x:v>Lach-Ner calcium carbonate in lab chemical catalogue.</x:v>
      </x:c>
      <x:c r="H32" s="16" t="str">
        <x:v>Identified manufacturer and orderable catalogue route.</x:v>
      </x:c>
      <x:c r="I32" s="16" t="str">
        <x:v>Small-lot laboratory supply. Full-load industrial economics not established.</x:v>
      </x:c>
      <x:c r="J32" s="16" t="str">
        <x:v>Website sales contact</x:v>
      </x:c>
      <x:c r="K32" s="21" t="str">
        <x:v>https://www.verkon.cz/</x:v>
      </x:c>
      <x:c r="L32" s="11" t="str"/>
      <x:c r="M32" s="21" t="str">
        <x:v>https://www.verkon.cz/laboratorni-chemikalie-lachner/uhlicitan-vapenaty/</x:v>
      </x:c>
      <x:c r="N32" s="21" t="str"/>
      <x:c r="O32" s="16" t="str">
        <x:v>Company product listing</x:v>
      </x:c>
      <x:c r="P32" s="9" t="n">
        <x:v>0</x:v>
      </x:c>
      <x:c r="Q32" s="9" t="n">
        <x:v>0</x:v>
      </x:c>
      <x:c r="R32" s="9" t="n">
        <x:v>0</x:v>
      </x:c>
      <x:c r="S32" s="9" t="n">
        <x:v>1</x:v>
      </x:c>
    </x:row>
    <x:row r="33" ht="64" customHeight="1">
      <x:c r="A33" s="18" t="n">
        <x:v>28</x:v>
      </x:c>
      <x:c r="B33" s="19" t="str">
        <x:v>ProAntik</x:v>
      </x:c>
      <x:c r="C33" s="20" t="str">
        <x:v>C</x:v>
      </x:c>
      <x:c r="D33" s="19" t="str">
        <x:v>Specialist retailer / distributor</x:v>
      </x:c>
      <x:c r="E33" s="19" t="str">
        <x:v>Czech Republic</x:v>
      </x:c>
      <x:c r="F33" s="19" t="str">
        <x:v>Bentonite</x:v>
      </x:c>
      <x:c r="G33" s="19" t="str">
        <x:v>Bentonite, including bagged restoration/material use.</x:v>
      </x:c>
      <x:c r="H33" s="19" t="str">
        <x:v>Published product-sale route.</x:v>
      </x:c>
      <x:c r="I33" s="19" t="str">
        <x:v>Do not assume drilling/foundry/GCL grade or bulk export capacity.</x:v>
      </x:c>
      <x:c r="J33" s="19" t="str">
        <x:v>Website sales enquiry</x:v>
      </x:c>
      <x:c r="K33" s="22" t="str">
        <x:v>https://www.proantik.cz/</x:v>
      </x:c>
      <x:c r="L33" s="11" t="str"/>
      <x:c r="M33" s="22" t="str">
        <x:v>https://www.proantik.cz/bentonit4</x:v>
      </x:c>
      <x:c r="N33" s="22" t="str"/>
      <x:c r="O33" s="19" t="str">
        <x:v>Company product listing</x:v>
      </x:c>
      <x:c r="P33" s="9" t="n">
        <x:v>1</x:v>
      </x:c>
      <x:c r="Q33" s="9" t="n">
        <x:v>0</x:v>
      </x:c>
      <x:c r="R33" s="9" t="n">
        <x:v>0</x:v>
      </x:c>
      <x:c r="S33" s="9" t="n">
        <x:v>0</x:v>
      </x:c>
    </x:row>
    <x:row r="34" ht="64" customHeight="1">
      <x:c r="A34" s="15" t="n">
        <x:v>29</x:v>
      </x:c>
      <x:c r="B34" s="16" t="str">
        <x:v>Keramické centrum</x:v>
      </x:c>
      <x:c r="C34" s="17" t="str">
        <x:v>C</x:v>
      </x:c>
      <x:c r="D34" s="16" t="str">
        <x:v>Ceramic materials retailer</x:v>
      </x:c>
      <x:c r="E34" s="16" t="str">
        <x:v>Czech Republic</x:v>
      </x:c>
      <x:c r="F34" s="16" t="str">
        <x:v>Bentonite; Kaolin</x:v>
      </x:c>
      <x:c r="G34" s="16" t="str">
        <x:v>Ceramic raw-material catalogue.</x:v>
      </x:c>
      <x:c r="H34" s="16" t="str">
        <x:v>Small-lot product access for ceramic enquiries.</x:v>
      </x:c>
      <x:c r="I34" s="16" t="str">
        <x:v>Low fit for bulk sourcing. Confirm grade identity, full pallets and export.</x:v>
      </x:c>
      <x:c r="J34" s="16" t="str">
        <x:v>Website sales contact</x:v>
      </x:c>
      <x:c r="K34" s="21" t="str">
        <x:v>https://www.keramickecentrum.cz/</x:v>
      </x:c>
      <x:c r="L34" s="11" t="str"/>
      <x:c r="M34" s="21" t="str">
        <x:v>https://www.keramickecentrum.cz/kategorie/42/suroviny</x:v>
      </x:c>
      <x:c r="N34" s="21" t="str"/>
      <x:c r="O34" s="16" t="str">
        <x:v>Company product listing</x:v>
      </x:c>
      <x:c r="P34" s="9" t="n">
        <x:v>1</x:v>
      </x:c>
      <x:c r="Q34" s="9" t="n">
        <x:v>1</x:v>
      </x:c>
      <x:c r="R34" s="9" t="n">
        <x:v>0</x:v>
      </x:c>
      <x:c r="S34" s="9" t="n">
        <x:v>0</x:v>
      </x:c>
    </x:row>
    <x:row r="35" ht="64" customHeight="1">
      <x:c r="A35" s="18" t="n">
        <x:v>30</x:v>
      </x:c>
      <x:c r="B35" s="19" t="str">
        <x:v>Služby keramikům</x:v>
      </x:c>
      <x:c r="C35" s="20" t="str">
        <x:v>C</x:v>
      </x:c>
      <x:c r="D35" s="19" t="str">
        <x:v>Ceramic materials retailer</x:v>
      </x:c>
      <x:c r="E35" s="19" t="str">
        <x:v>Czech Republic</x:v>
      </x:c>
      <x:c r="F35" s="19" t="str">
        <x:v>Bentonite; Kaolin</x:v>
      </x:c>
      <x:c r="G35" s="19" t="str">
        <x:v>Raw clays/minerals for ceramic users.</x:v>
      </x:c>
      <x:c r="H35" s="19" t="str">
        <x:v>Published ceramic raw-material catalogue.</x:v>
      </x:c>
      <x:c r="I35" s="19" t="str">
        <x:v>Retail quantities and ceramic focus. Industrial tonnage and application tests not established.</x:v>
      </x:c>
      <x:c r="J35" s="19" t="str">
        <x:v>Website sales contact</x:v>
      </x:c>
      <x:c r="K35" s="22" t="str">
        <x:v>https://sluzbykeramikum.cz/</x:v>
      </x:c>
      <x:c r="L35" s="11" t="str"/>
      <x:c r="M35" s="22" t="str">
        <x:v>https://sluzbykeramikum.cz/suroviny-oxidy/</x:v>
      </x:c>
      <x:c r="N35" s="22" t="str"/>
      <x:c r="O35" s="19" t="str">
        <x:v>Company product listing</x:v>
      </x:c>
      <x:c r="P35" s="9" t="n">
        <x:v>1</x:v>
      </x:c>
      <x:c r="Q35" s="9" t="n">
        <x:v>1</x:v>
      </x:c>
      <x:c r="R35" s="9" t="n">
        <x:v>0</x:v>
      </x:c>
      <x:c r="S35" s="9" t="n">
        <x:v>0</x:v>
      </x:c>
    </x:row>
  </x:sheetData>
  <x:conditionalFormatting sqref="C6:C35">
    <x:cfRule type="containsText" dxfId="1" priority="1" operator="containsText" text="C"/>
  </x:conditionalFormatting>
  <x:pageMargins left="0.7" right="0.7" top="0.75" bottom="0.75" header="0.3" footer="0.3"/>
  <x:tableParts count="1">
    <x:tablePart xmlns:r="http://schemas.openxmlformats.org/officeDocument/2006/relationships" r:id="Re16596553a384841"/>
  </x:tableParts>
</x:worksheet>
</file>

<file path=xl/worksheets/sheet4.xml><?xml version="1.0" encoding="utf-8"?>
<x:worksheet xmlns:x="http://schemas.openxmlformats.org/spreadsheetml/2006/main">
  <x:sheetPr>
    <x:tabColor rgb="FF24364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1" max="1" width="7" hidden="0" customWidth="1"/>
    <x:col min="2" max="2" width="36" hidden="0" customWidth="1"/>
    <x:col min="3" max="3" width="10" hidden="0" customWidth="1"/>
    <x:col min="4" max="4" width="28" hidden="0" customWidth="1"/>
    <x:col min="5" max="5" width="30" hidden="0" customWidth="1"/>
    <x:col min="6" max="6" width="30" hidden="0" customWidth="1"/>
    <x:col min="7" max="7" width="48" hidden="0" customWidth="1"/>
    <x:col min="8" max="8" width="48" hidden="0" customWidth="1"/>
    <x:col min="9" max="9" width="49" hidden="0" customWidth="1"/>
    <x:col min="10" max="10" width="38" hidden="0" customWidth="1"/>
    <x:col min="11" max="11" width="38" hidden="0" customWidth="1"/>
    <x:col min="12" max="12" width="3" hidden="0" customWidth="1"/>
    <x:col min="13" max="13" width="58" hidden="0" customWidth="1"/>
    <x:col min="14" max="14" width="58" hidden="0" customWidth="1"/>
    <x:col min="15" max="15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Greece supplier priorities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4" t="str">
        <x:v>30 candidates across the four minerals. Rank is RFQ priority, not measured service performance.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 t="str">
        <x:v>Material flags: 1 = listed route, 0 = not identified. Includes limited-fit grades.</x:v>
      </x:c>
      <x:c r="Q3" s="2"/>
      <x:c r="R3" s="2"/>
      <x:c r="S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6" customHeight="1">
      <x:c r="A5" s="8" t="str">
        <x:v>Rank</x:v>
      </x:c>
      <x:c r="B5" s="8" t="str">
        <x:v>Supplier</x:v>
      </x:c>
      <x:c r="C5" s="8" t="str">
        <x:v>Priority</x:v>
      </x:c>
      <x:c r="D5" s="8" t="str">
        <x:v>Supplier type</x:v>
      </x:c>
      <x:c r="E5" s="8" t="str">
        <x:v>Location / origin note</x:v>
      </x:c>
      <x:c r="F5" s="8" t="str">
        <x:v>Materials</x:v>
      </x:c>
      <x:c r="G5" s="8" t="str">
        <x:v>Product / application fit</x:v>
      </x:c>
      <x:c r="H5" s="8" t="str">
        <x:v>Public service evidence</x:v>
      </x:c>
      <x:c r="I5" s="8" t="str">
        <x:v>Confirm before buying</x:v>
      </x:c>
      <x:c r="J5" s="8" t="str">
        <x:v>Public contact route</x:v>
      </x:c>
      <x:c r="K5" s="8" t="str">
        <x:v>Website</x:v>
      </x:c>
      <x:c r="L5" s="2" t="str"/>
      <x:c r="M5" s="8" t="str">
        <x:v>Source 1</x:v>
      </x:c>
      <x:c r="N5" s="8" t="str">
        <x:v>Source 2</x:v>
      </x:c>
      <x:c r="O5" s="8" t="str">
        <x:v>Evidence basis</x:v>
      </x:c>
      <x:c r="P5" s="8" t="str">
        <x:v>Bentonite</x:v>
      </x:c>
      <x:c r="Q5" s="8" t="str">
        <x:v>Kaolin</x:v>
      </x:c>
      <x:c r="R5" s="8" t="str">
        <x:v>Bleaching earth</x:v>
      </x:c>
      <x:c r="S5" s="8" t="str">
        <x:v>Calcium carbonate</x:v>
      </x:c>
    </x:row>
    <x:row r="6" ht="64" customHeight="1">
      <x:c r="A6" s="15" t="n">
        <x:v>1</x:v>
      </x:c>
      <x:c r="B6" s="16" t="str">
        <x:v>Imerys — Greek bentonite operations</x:v>
      </x:c>
      <x:c r="C6" s="17" t="str">
        <x:v>A</x:v>
      </x:c>
      <x:c r="D6" s="16" t="str">
        <x:v>Miner / processor / global group</x:v>
      </x:c>
      <x:c r="E6" s="16" t="str">
        <x:v>Milos</x:v>
      </x:c>
      <x:c r="F6" s="16" t="str">
        <x:v>Bentonite</x:v>
      </x:c>
      <x:c r="G6" s="16" t="str">
        <x:v>Bentonite for foundry, pelletizing and industrial applications. Ask for the relevant drilling/GCL grade.</x:v>
      </x:c>
      <x:c r="H6" s="16" t="str">
        <x:v>Named Milos mines and processing plants within a global mineral organisation.</x:v>
      </x:c>
      <x:c r="I6" s="16" t="str">
        <x:v>Confirm Greek-origin grade, allocation, technical support and Netherlands delivery. Former S&amp;B is not a separate lead.</x:v>
      </x:c>
      <x:c r="J6" s="16" t="str">
        <x:v>Mineral product enquiry</x:v>
      </x:c>
      <x:c r="K6" s="21" t="str">
        <x:v>https://www.imerys.com/</x:v>
      </x:c>
      <x:c r="L6" s="11" t="str"/>
      <x:c r="M6" s="21" t="str">
        <x:v>https://www.imerys.com/minerals/bentonite</x:v>
      </x:c>
      <x:c r="N6" s="21" t="str"/>
      <x:c r="O6" s="16" t="str">
        <x:v>Company product listing</x:v>
      </x:c>
      <x:c r="P6" s="9" t="n">
        <x:v>1</x:v>
      </x:c>
      <x:c r="Q6" s="9" t="n">
        <x:v>0</x:v>
      </x:c>
      <x:c r="R6" s="9" t="n">
        <x:v>0</x:v>
      </x:c>
      <x:c r="S6" s="9" t="n">
        <x:v>0</x:v>
      </x:c>
    </x:row>
    <x:row r="7" ht="64" customHeight="1">
      <x:c r="A7" s="18" t="n">
        <x:v>2</x:v>
      </x:c>
      <x:c r="B7" s="19" t="str">
        <x:v>Geohellas</x:v>
      </x:c>
      <x:c r="C7" s="20" t="str">
        <x:v>A</x:v>
      </x:c>
      <x:c r="D7" s="19" t="str">
        <x:v>Miner / adsorbent producer</x:v>
      </x:c>
      <x:c r="E7" s="19" t="str">
        <x:v>Knidi, Grevena plant; Athens office</x:v>
      </x:c>
      <x:c r="F7" s="19" t="str">
        <x:v>Bleaching earth</x:v>
      </x:c>
      <x:c r="G7" s="19" t="str">
        <x:v>Natural, thermally activated and acid-activated earths for edible-oil refining.</x:v>
      </x:c>
      <x:c r="H7" s="19" t="str">
        <x:v>Oil-specific range and technical focus on filtration, impurity removal and oil loss.</x:v>
      </x:c>
      <x:c r="I7" s="19" t="str">
        <x:v>Confirm activation chemistry, chloride, contaminant testing and comparison with PB1000/PB1000FF/PB2000.</x:v>
      </x:c>
      <x:c r="J7" s="19" t="str">
        <x:v>bleachingearth@geohellas.com</x:v>
      </x:c>
      <x:c r="K7" s="22" t="str">
        <x:v>https://geohellas.com/</x:v>
      </x:c>
      <x:c r="L7" s="11" t="str"/>
      <x:c r="M7" s="22" t="str">
        <x:v>https://geohellas.com/products/bleaching-earths/</x:v>
      </x:c>
      <x:c r="N7" s="22" t="str">
        <x:v>https://geohellas.com/products/bleaching-earths/edible-oils/</x:v>
      </x:c>
      <x:c r="O7" s="19" t="str">
        <x:v>Company product listing</x:v>
      </x:c>
      <x:c r="P7" s="9" t="n">
        <x:v>0</x:v>
      </x:c>
      <x:c r="Q7" s="9" t="n">
        <x:v>0</x:v>
      </x:c>
      <x:c r="R7" s="9" t="n">
        <x:v>1</x:v>
      </x:c>
      <x:c r="S7" s="9" t="n">
        <x:v>0</x:v>
      </x:c>
    </x:row>
    <x:row r="8" ht="64" customHeight="1">
      <x:c r="A8" s="15" t="n">
        <x:v>3</x:v>
      </x:c>
      <x:c r="B8" s="16" t="str">
        <x:v>IOKAL — Ionian Kalk</x:v>
      </x:c>
      <x:c r="C8" s="17" t="str">
        <x:v>A</x:v>
      </x:c>
      <x:c r="D8" s="16" t="str">
        <x:v>Calcium carbonate producer</x:v>
      </x:c>
      <x:c r="E8" s="16" t="str">
        <x:v>Kefalonia, Mandra and Kavala</x:v>
      </x:c>
      <x:c r="F8" s="16" t="str">
        <x:v>Calcium carbonate</x:v>
      </x:c>
      <x:c r="G8" s="16" t="str">
        <x:v>Fine calcium carbonate for industrial uses.</x:v>
      </x:c>
      <x:c r="H8" s="16" t="str">
        <x:v>Publishes multi-plant supply and exports to 70 countries by truck, containers and chartered vessels.</x:v>
      </x:c>
      <x:c r="I8" s="16" t="str">
        <x:v>Confirm grade/plant, coating, loading method, lead time and landed Netherlands cost.</x:v>
      </x:c>
      <x:c r="J8" s="16" t="str">
        <x:v>+30 210 555 2395; website contact</x:v>
      </x:c>
      <x:c r="K8" s="21" t="str">
        <x:v>https://www.iokal.com/</x:v>
      </x:c>
      <x:c r="L8" s="11" t="str"/>
      <x:c r="M8" s="21" t="str">
        <x:v>https://www.iokal.com/</x:v>
      </x:c>
      <x:c r="N8" s="21" t="str"/>
      <x:c r="O8" s="16" t="str">
        <x:v>Company product listing</x:v>
      </x:c>
      <x:c r="P8" s="9" t="n">
        <x:v>0</x:v>
      </x:c>
      <x:c r="Q8" s="9" t="n">
        <x:v>0</x:v>
      </x:c>
      <x:c r="R8" s="9" t="n">
        <x:v>0</x:v>
      </x:c>
      <x:c r="S8" s="9" t="n">
        <x:v>1</x:v>
      </x:c>
    </x:row>
    <x:row r="9" ht="64" customHeight="1">
      <x:c r="A9" s="18" t="n">
        <x:v>4</x:v>
      </x:c>
      <x:c r="B9" s="19" t="str">
        <x:v>Omya Hellas</x:v>
      </x:c>
      <x:c r="C9" s="20" t="str">
        <x:v>A</x:v>
      </x:c>
      <x:c r="D9" s="19" t="str">
        <x:v>Calcium carbonate producer / group supplier</x:v>
      </x:c>
      <x:c r="E9" s="19" t="str">
        <x:v>Greece; dispatch plant to confirm</x:v>
      </x:c>
      <x:c r="F9" s="19" t="str">
        <x:v>Calcium carbonate</x:v>
      </x:c>
      <x:c r="G9" s="19" t="str">
        <x:v>Ground calcium carbonate. Greek GCC production remains with Omya Hellas.</x:v>
      </x:c>
      <x:c r="H9" s="19" t="str">
        <x:v>Global technical mineral network and Greek corporate documentation.</x:v>
      </x:c>
      <x:c r="I9" s="19" t="str">
        <x:v>Confirm exact plant and selling entity after distribution-business separation. Do not double-count the new distribution entity.</x:v>
      </x:c>
      <x:c r="J9" s="19" t="str">
        <x:v>Omya country sales enquiry</x:v>
      </x:c>
      <x:c r="K9" s="22" t="str">
        <x:v>https://www.omya.com/</x:v>
      </x:c>
      <x:c r="L9" s="11" t="str"/>
      <x:c r="M9" s="22" t="str">
        <x:v>https://prod.aem.omya.com/en/omya-group/global-compliance-center/corporate-reports-and-certifications/greece/omya-specialty-materials-greece-sa</x:v>
      </x:c>
      <x:c r="N9" s="22" t="str"/>
      <x:c r="O9" s="19" t="str">
        <x:v>Company product listing</x:v>
      </x:c>
      <x:c r="P9" s="9" t="n">
        <x:v>0</x:v>
      </x:c>
      <x:c r="Q9" s="9" t="n">
        <x:v>0</x:v>
      </x:c>
      <x:c r="R9" s="9" t="n">
        <x:v>0</x:v>
      </x:c>
      <x:c r="S9" s="9" t="n">
        <x:v>1</x:v>
      </x:c>
    </x:row>
    <x:row r="10" ht="64" customHeight="1">
      <x:c r="A10" s="15" t="n">
        <x:v>5</x:v>
      </x:c>
      <x:c r="B10" s="16" t="str">
        <x:v>Microfill — Zafranas</x:v>
      </x:c>
      <x:c r="C10" s="17" t="str">
        <x:v>A</x:v>
      </x:c>
      <x:c r="D10" s="16" t="str">
        <x:v>Calcium carbonate producer</x:v>
      </x:c>
      <x:c r="E10" s="16" t="str">
        <x:v>Corinth</x:v>
      </x:c>
      <x:c r="F10" s="16" t="str">
        <x:v>Calcium carbonate</x:v>
      </x:c>
      <x:c r="G10" s="16" t="str">
        <x:v>Micronized carbonate for industrial formulations.</x:v>
      </x:c>
      <x:c r="H10" s="16" t="str">
        <x:v>Dedicated Greek mineral processing and export-oriented company profile.</x:v>
      </x:c>
      <x:c r="I10" s="16" t="str">
        <x:v>Confirm current entity, grade data, current certificates and Netherlands delivery terms.</x:v>
      </x:c>
      <x:c r="J10" s="16" t="str">
        <x:v>Website commercial contact</x:v>
      </x:c>
      <x:c r="K10" s="21" t="str">
        <x:v>https://www.microfill.gr/</x:v>
      </x:c>
      <x:c r="L10" s="11" t="str"/>
      <x:c r="M10" s="21" t="str">
        <x:v>https://www.microfill.gr/ell/categories/Profile</x:v>
      </x:c>
      <x:c r="N10" s="21" t="str"/>
      <x:c r="O10" s="16" t="str">
        <x:v>Company product listing</x:v>
      </x:c>
      <x:c r="P10" s="9" t="n">
        <x:v>0</x:v>
      </x:c>
      <x:c r="Q10" s="9" t="n">
        <x:v>0</x:v>
      </x:c>
      <x:c r="R10" s="9" t="n">
        <x:v>0</x:v>
      </x:c>
      <x:c r="S10" s="9" t="n">
        <x:v>1</x:v>
      </x:c>
    </x:row>
    <x:row r="11" ht="64" customHeight="1">
      <x:c r="A11" s="18" t="n">
        <x:v>6</x:v>
      </x:c>
      <x:c r="B11" s="19" t="str">
        <x:v>Bentomine Kimolian Enterprises</x:v>
      </x:c>
      <x:c r="C11" s="20" t="str">
        <x:v>B</x:v>
      </x:c>
      <x:c r="D11" s="19" t="str">
        <x:v>Bentonite miner / exporter</x:v>
      </x:c>
      <x:c r="E11" s="19" t="str">
        <x:v>Kimolos</x:v>
      </x:c>
      <x:c r="F11" s="19" t="str">
        <x:v>Bentonite</x:v>
      </x:c>
      <x:c r="G11" s="19" t="str">
        <x:v>Bentonite from own Greek deposits.</x:v>
      </x:c>
      <x:c r="H11" s="19" t="str">
        <x:v>Company identifies quarry operations and export activity.</x:v>
      </x:c>
      <x:c r="I11" s="19" t="str">
        <x:v>Confirm milling/activation, finished grades and tests for drilling, foundry, pelletizing or GCL.</x:v>
      </x:c>
      <x:c r="J11" s="19" t="str">
        <x:v>Website commercial contact</x:v>
      </x:c>
      <x:c r="K11" s="22" t="str">
        <x:v>https://www.bentomine.gr/</x:v>
      </x:c>
      <x:c r="L11" s="11" t="str"/>
      <x:c r="M11" s="22" t="str">
        <x:v>https://www.bentomine.gr/bentomine/</x:v>
      </x:c>
      <x:c r="N11" s="22" t="str"/>
      <x:c r="O11" s="19" t="str">
        <x:v>Company product listing</x:v>
      </x:c>
      <x:c r="P11" s="9" t="n">
        <x:v>1</x:v>
      </x:c>
      <x:c r="Q11" s="9" t="n">
        <x:v>0</x:v>
      </x:c>
      <x:c r="R11" s="9" t="n">
        <x:v>0</x:v>
      </x:c>
      <x:c r="S11" s="9" t="n">
        <x:v>0</x:v>
      </x:c>
    </x:row>
    <x:row r="12" ht="64" customHeight="1">
      <x:c r="A12" s="15" t="n">
        <x:v>7</x:v>
      </x:c>
      <x:c r="B12" s="16" t="str">
        <x:v>Oilchem</x:v>
      </x:c>
      <x:c r="C12" s="17" t="str">
        <x:v>B</x:v>
      </x:c>
      <x:c r="D12" s="16" t="str">
        <x:v>Specialty distributor</x:v>
      </x:c>
      <x:c r="E12" s="16" t="str">
        <x:v>Attica</x:v>
      </x:c>
      <x:c r="F12" s="16" t="str">
        <x:v>Bleaching earth</x:v>
      </x:c>
      <x:c r="G12" s="16" t="str">
        <x:v>Oil-Dri bleaching earth for oil processing.</x:v>
      </x:c>
      <x:c r="H12" s="16" t="str">
        <x:v>Dedicated food-industry bleaching-earth portfolio and Greek commercial route.</x:v>
      </x:c>
      <x:c r="I12" s="16" t="str">
        <x:v>Imported brand route. Confirm origin, current distributorship, EU re-sale rights and refining tests.</x:v>
      </x:c>
      <x:c r="J12" s="16" t="str">
        <x:v>Website sales enquiry</x:v>
      </x:c>
      <x:c r="K12" s="21" t="str">
        <x:v>https://www.oilchem.gr/en/</x:v>
      </x:c>
      <x:c r="L12" s="11" t="str"/>
      <x:c r="M12" s="21" t="str">
        <x:v>https://www.oilchem.gr/en/industries-we-serve/food-industry/bleaching-earth</x:v>
      </x:c>
      <x:c r="N12" s="21" t="str"/>
      <x:c r="O12" s="16" t="str">
        <x:v>Company product listing</x:v>
      </x:c>
      <x:c r="P12" s="9" t="n">
        <x:v>0</x:v>
      </x:c>
      <x:c r="Q12" s="9" t="n">
        <x:v>0</x:v>
      </x:c>
      <x:c r="R12" s="9" t="n">
        <x:v>1</x:v>
      </x:c>
      <x:c r="S12" s="9" t="n">
        <x:v>0</x:v>
      </x:c>
    </x:row>
    <x:row r="13" ht="64" customHeight="1">
      <x:c r="A13" s="18" t="n">
        <x:v>8</x:v>
      </x:c>
      <x:c r="B13" s="19" t="str">
        <x:v>Nordia — Dionyssomarble</x:v>
      </x:c>
      <x:c r="C13" s="20" t="str">
        <x:v>B</x:v>
      </x:c>
      <x:c r="D13" s="19" t="str">
        <x:v>Miner / processor</x:v>
      </x:c>
      <x:c r="E13" s="19" t="str">
        <x:v>Dionysos / Attica</x:v>
      </x:c>
      <x:c r="F13" s="19" t="str">
        <x:v>Calcium carbonate</x:v>
      </x:c>
      <x:c r="G13" s="19" t="str">
        <x:v>ALFACARB crystalline ground calcium carbonate.</x:v>
      </x:c>
      <x:c r="H13" s="19" t="str">
        <x:v>Published grade technical sheet and mining/processing background.</x:v>
      </x:c>
      <x:c r="I13" s="19" t="str">
        <x:v>Confirm exact industrial grade, PSD, packing and dispatch. Related group names counted once.</x:v>
      </x:c>
      <x:c r="J13" s="19" t="str">
        <x:v>Nordia commercial contact</x:v>
      </x:c>
      <x:c r="K13" s="22" t="str">
        <x:v>https://www.nordiaagro.gr/</x:v>
      </x:c>
      <x:c r="L13" s="11" t="str"/>
      <x:c r="M13" s="22" t="str">
        <x:v>https://nordiaagro.gr/documents/tds/en/alfacarb-tds.pdf</x:v>
      </x:c>
      <x:c r="N13" s="22" t="str">
        <x:v>https://www.nordiaagro.gr/about/</x:v>
      </x:c>
      <x:c r="O13" s="19" t="str">
        <x:v>Company product listing</x:v>
      </x:c>
      <x:c r="P13" s="9" t="n">
        <x:v>0</x:v>
      </x:c>
      <x:c r="Q13" s="9" t="n">
        <x:v>0</x:v>
      </x:c>
      <x:c r="R13" s="9" t="n">
        <x:v>0</x:v>
      </x:c>
      <x:c r="S13" s="9" t="n">
        <x:v>1</x:v>
      </x:c>
    </x:row>
    <x:row r="14" ht="64" customHeight="1">
      <x:c r="A14" s="15" t="n">
        <x:v>9</x:v>
      </x:c>
      <x:c r="B14" s="16" t="str">
        <x:v>Powder Ltd</x:v>
      </x:c>
      <x:c r="C14" s="17" t="str">
        <x:v>B</x:v>
      </x:c>
      <x:c r="D14" s="16" t="str">
        <x:v>Mineral processor</x:v>
      </x:c>
      <x:c r="E14" s="16" t="str">
        <x:v>Kozani</x:v>
      </x:c>
      <x:c r="F14" s="16" t="str">
        <x:v>Calcium carbonate</x:v>
      </x:c>
      <x:c r="G14" s="16" t="str">
        <x:v>Micronized calcium carbonate/fillers for industrial formulations.</x:v>
      </x:c>
      <x:c r="H14" s="16" t="str">
        <x:v>Product-focused processor with published commercial contact.</x:v>
      </x:c>
      <x:c r="I14" s="16" t="str">
        <x:v>Verify brightness method, D50/D97, coating and export capacity.</x:v>
      </x:c>
      <x:c r="J14" s="16" t="str">
        <x:v>+30 24610 31829; website contact</x:v>
      </x:c>
      <x:c r="K14" s="21" t="str">
        <x:v>https://powderltd.gr/</x:v>
      </x:c>
      <x:c r="L14" s="11" t="str"/>
      <x:c r="M14" s="21" t="str">
        <x:v>https://powderltd.gr/products/</x:v>
      </x:c>
      <x:c r="N14" s="21" t="str"/>
      <x:c r="O14" s="16" t="str">
        <x:v>Company product listing</x:v>
      </x:c>
      <x:c r="P14" s="9" t="n">
        <x:v>0</x:v>
      </x:c>
      <x:c r="Q14" s="9" t="n">
        <x:v>0</x:v>
      </x:c>
      <x:c r="R14" s="9" t="n">
        <x:v>0</x:v>
      </x:c>
      <x:c r="S14" s="9" t="n">
        <x:v>1</x:v>
      </x:c>
    </x:row>
    <x:row r="15" ht="64" customHeight="1">
      <x:c r="A15" s="18" t="n">
        <x:v>10</x:v>
      </x:c>
      <x:c r="B15" s="19" t="str">
        <x:v>Calcit Greece</x:v>
      </x:c>
      <x:c r="C15" s="20" t="str">
        <x:v>B</x:v>
      </x:c>
      <x:c r="D15" s="19" t="str">
        <x:v>Calcium carbonate producer</x:v>
      </x:c>
      <x:c r="E15" s="19" t="str">
        <x:v>Greece; factory to confirm</x:v>
      </x:c>
      <x:c r="F15" s="19" t="str">
        <x:v>Calcium carbonate</x:v>
      </x:c>
      <x:c r="G15" s="19" t="str">
        <x:v>Processed carbonate from the Greek Calcit business.</x:v>
      </x:c>
      <x:c r="H15" s="19" t="str">
        <x:v>Company describes long-running production and industrial supply.</x:v>
      </x:c>
      <x:c r="I15" s="19" t="str">
        <x:v>Confirm grade range, packing and direct export. Not the Slovenian company with the same name.</x:v>
      </x:c>
      <x:c r="J15" s="19" t="str">
        <x:v>Website commercial contact</x:v>
      </x:c>
      <x:c r="K15" s="22" t="str">
        <x:v>https://www.calcit.gr/</x:v>
      </x:c>
      <x:c r="L15" s="11" t="str"/>
      <x:c r="M15" s="22" t="str">
        <x:v>https://www.calcit.gr/etaireia/</x:v>
      </x:c>
      <x:c r="N15" s="22" t="str"/>
      <x:c r="O15" s="19" t="str">
        <x:v>Company product listing</x:v>
      </x:c>
      <x:c r="P15" s="9" t="n">
        <x:v>0</x:v>
      </x:c>
      <x:c r="Q15" s="9" t="n">
        <x:v>0</x:v>
      </x:c>
      <x:c r="R15" s="9" t="n">
        <x:v>0</x:v>
      </x:c>
      <x:c r="S15" s="9" t="n">
        <x:v>1</x:v>
      </x:c>
    </x:row>
    <x:row r="16" ht="64" customHeight="1">
      <x:c r="A16" s="15" t="n">
        <x:v>11</x:v>
      </x:c>
      <x:c r="B16" s="16" t="str">
        <x:v>Granule</x:v>
      </x:c>
      <x:c r="C16" s="17" t="str">
        <x:v>B</x:v>
      </x:c>
      <x:c r="D16" s="16" t="str">
        <x:v>Mineral processor</x:v>
      </x:c>
      <x:c r="E16" s="16" t="str">
        <x:v>Greece</x:v>
      </x:c>
      <x:c r="F16" s="16" t="str">
        <x:v>Calcium carbonate</x:v>
      </x:c>
      <x:c r="G16" s="16" t="str">
        <x:v>Calcium carbonate and dolomite processing.</x:v>
      </x:c>
      <x:c r="H16" s="16" t="str">
        <x:v>Dedicated mineral-processing company and product route.</x:v>
      </x:c>
      <x:c r="I16" s="16" t="str">
        <x:v>Confirm carbonate grade and current certification. Old ISO version claims are not current approval.</x:v>
      </x:c>
      <x:c r="J16" s="16" t="str">
        <x:v>Website sales contact</x:v>
      </x:c>
      <x:c r="K16" s="21" t="str">
        <x:v>https://granule.gr/</x:v>
      </x:c>
      <x:c r="L16" s="11" t="str"/>
      <x:c r="M16" s="21" t="str">
        <x:v>https://granule.gr/</x:v>
      </x:c>
      <x:c r="N16" s="21" t="str"/>
      <x:c r="O16" s="16" t="str">
        <x:v>Company product listing</x:v>
      </x:c>
      <x:c r="P16" s="9" t="n">
        <x:v>0</x:v>
      </x:c>
      <x:c r="Q16" s="9" t="n">
        <x:v>0</x:v>
      </x:c>
      <x:c r="R16" s="9" t="n">
        <x:v>0</x:v>
      </x:c>
      <x:c r="S16" s="9" t="n">
        <x:v>1</x:v>
      </x:c>
    </x:row>
    <x:row r="17" ht="64" customHeight="1">
      <x:c r="A17" s="18" t="n">
        <x:v>12</x:v>
      </x:c>
      <x:c r="B17" s="19" t="str">
        <x:v>Asvestolithiki Thessalonikis</x:v>
      </x:c>
      <x:c r="C17" s="20" t="str">
        <x:v>B</x:v>
      </x:c>
      <x:c r="D17" s="19" t="str">
        <x:v>Limestone producer / processor</x:v>
      </x:c>
      <x:c r="E17" s="19" t="str">
        <x:v>Thessaloniki region</x:v>
      </x:c>
      <x:c r="F17" s="19" t="str">
        <x:v>Calcium carbonate</x:v>
      </x:c>
      <x:c r="G17" s="19" t="str">
        <x:v>Limestone/carbonate for industrial and agricultural uses.</x:v>
      </x:c>
      <x:c r="H17" s="19" t="str">
        <x:v>Named Greek limestone supply operation.</x:v>
      </x:c>
      <x:c r="I17" s="19" t="str">
        <x:v>Confirm finished powder availability, brightness and grading versus coarse/agricultural material.</x:v>
      </x:c>
      <x:c r="J17" s="19" t="str">
        <x:v>Website commercial contact</x:v>
      </x:c>
      <x:c r="K17" s="22" t="str">
        <x:v>https://asvestolithiki.gr/en/</x:v>
      </x:c>
      <x:c r="L17" s="11" t="str"/>
      <x:c r="M17" s="22" t="str">
        <x:v>https://asvestolithiki.gr/en/</x:v>
      </x:c>
      <x:c r="N17" s="22" t="str"/>
      <x:c r="O17" s="19" t="str">
        <x:v>Company product listing</x:v>
      </x:c>
      <x:c r="P17" s="9" t="n">
        <x:v>0</x:v>
      </x:c>
      <x:c r="Q17" s="9" t="n">
        <x:v>0</x:v>
      </x:c>
      <x:c r="R17" s="9" t="n">
        <x:v>0</x:v>
      </x:c>
      <x:c r="S17" s="9" t="n">
        <x:v>1</x:v>
      </x:c>
    </x:row>
    <x:row r="18" ht="64" customHeight="1">
      <x:c r="A18" s="15" t="n">
        <x:v>13</x:v>
      </x:c>
      <x:c r="B18" s="16" t="str">
        <x:v>Prolat</x:v>
      </x:c>
      <x:c r="C18" s="17" t="str">
        <x:v>B</x:v>
      </x:c>
      <x:c r="D18" s="16" t="str">
        <x:v>Mineral processor / supplier</x:v>
      </x:c>
      <x:c r="E18" s="16" t="str">
        <x:v>Greece</x:v>
      </x:c>
      <x:c r="F18" s="16" t="str">
        <x:v>Kaolin; Bentonite</x:v>
      </x:c>
      <x:c r="G18" s="16" t="str">
        <x:v>Kaolin in 25 kg bags/pallets. Granulated bentonite mainly linked to absorbent applications.</x:v>
      </x:c>
      <x:c r="H18" s="16" t="str">
        <x:v>Technical kaolin sheet and non-metallic mineral catalogue.</x:v>
      </x:c>
      <x:c r="I18" s="16" t="str">
        <x:v>Request industrial bentonite performance tests. Do not equate cat-litter grades with GCL/drilling.</x:v>
      </x:c>
      <x:c r="J18" s="16" t="str">
        <x:v>Website sales contact</x:v>
      </x:c>
      <x:c r="K18" s="21" t="str">
        <x:v>https://www.prolat.gr/en/</x:v>
      </x:c>
      <x:c r="L18" s="11" t="str"/>
      <x:c r="M18" s="21" t="str">
        <x:v>https://www.prolat.gr/en/non-metallic-minerals/</x:v>
      </x:c>
      <x:c r="N18" s="21" t="str">
        <x:v>https://www.prolat.gr/wp-content/uploads/2015/09/Kaolin-Prolat_tds_en_v2_2020.pdf</x:v>
      </x:c>
      <x:c r="O18" s="16" t="str">
        <x:v>Company product listing</x:v>
      </x:c>
      <x:c r="P18" s="9" t="n">
        <x:v>1</x:v>
      </x:c>
      <x:c r="Q18" s="9" t="n">
        <x:v>1</x:v>
      </x:c>
      <x:c r="R18" s="9" t="n">
        <x:v>0</x:v>
      </x:c>
      <x:c r="S18" s="9" t="n">
        <x:v>0</x:v>
      </x:c>
    </x:row>
    <x:row r="19" ht="64" customHeight="1">
      <x:c r="A19" s="18" t="n">
        <x:v>14</x:v>
      </x:c>
      <x:c r="B19" s="19" t="str">
        <x:v>MINERAL S.A.</x:v>
      </x:c>
      <x:c r="C19" s="20" t="str">
        <x:v>B</x:v>
      </x:c>
      <x:c r="D19" s="19" t="str">
        <x:v>Mineral / chemical distributor</x:v>
      </x:c>
      <x:c r="E19" s="19" t="str">
        <x:v>Greece</x:v>
      </x:c>
      <x:c r="F19" s="19" t="str">
        <x:v>Kaolin; Calcium carbonate</x:v>
      </x:c>
      <x:c r="G19" s="19" t="str">
        <x:v>Imerys industrial mineral distribution route.</x:v>
      </x:c>
      <x:c r="H19" s="19" t="str">
        <x:v>Company states Greek representation and technical advisory support.</x:v>
      </x:c>
      <x:c r="I19" s="19" t="str">
        <x:v>Confirm which kaolin/carbonate grades are actively offered, source plants and re-sale terms.</x:v>
      </x:c>
      <x:c r="J19" s="19" t="str">
        <x:v>Website commercial contact</x:v>
      </x:c>
      <x:c r="K19" s="22" t="str">
        <x:v>https://www.mineralsa.gr/</x:v>
      </x:c>
      <x:c r="L19" s="11" t="str"/>
      <x:c r="M19" s="22" t="str">
        <x:v>https://mineralsa.gr/segments/mineral-solutions/</x:v>
      </x:c>
      <x:c r="N19" s="22" t="str">
        <x:v>https://www.mineralsa.gr/</x:v>
      </x:c>
      <x:c r="O19" s="19" t="str">
        <x:v>Company product listing</x:v>
      </x:c>
      <x:c r="P19" s="9" t="n">
        <x:v>0</x:v>
      </x:c>
      <x:c r="Q19" s="9" t="n">
        <x:v>1</x:v>
      </x:c>
      <x:c r="R19" s="9" t="n">
        <x:v>0</x:v>
      </x:c>
      <x:c r="S19" s="9" t="n">
        <x:v>1</x:v>
      </x:c>
    </x:row>
    <x:row r="20" ht="64" customHeight="1">
      <x:c r="A20" s="15" t="n">
        <x:v>15</x:v>
      </x:c>
      <x:c r="B20" s="16" t="str">
        <x:v>Metallourgia Mandras</x:v>
      </x:c>
      <x:c r="C20" s="17" t="str">
        <x:v>B</x:v>
      </x:c>
      <x:c r="D20" s="16" t="str">
        <x:v>Drilling materials supplier</x:v>
      </x:c>
      <x:c r="E20" s="16" t="str">
        <x:v>Mandra, Attica</x:v>
      </x:c>
      <x:c r="F20" s="16" t="str">
        <x:v>Bentonite</x:v>
      </x:c>
      <x:c r="G20" s="16" t="str">
        <x:v>Bentonite in drilling-fluids/chemicals range.</x:v>
      </x:c>
      <x:c r="H20" s="16" t="str">
        <x:v>Specialist drilling supply catalogue.</x:v>
      </x:c>
      <x:c r="I20" s="16" t="str">
        <x:v>Confirm material origin, current API/OCMA results, stock and pallet export.</x:v>
      </x:c>
      <x:c r="J20" s="16" t="str">
        <x:v>Website commercial contact</x:v>
      </x:c>
      <x:c r="K20" s="21" t="str">
        <x:v>https://metalmandras.com/en/</x:v>
      </x:c>
      <x:c r="L20" s="11" t="str"/>
      <x:c r="M20" s="21" t="str">
        <x:v>https://metalmandras.com/en/products/drilling-fluids-chemicals/</x:v>
      </x:c>
      <x:c r="N20" s="21" t="str"/>
      <x:c r="O20" s="16" t="str">
        <x:v>Company product listing</x:v>
      </x:c>
      <x:c r="P20" s="9" t="n">
        <x:v>1</x:v>
      </x:c>
      <x:c r="Q20" s="9" t="n">
        <x:v>0</x:v>
      </x:c>
      <x:c r="R20" s="9" t="n">
        <x:v>0</x:v>
      </x:c>
      <x:c r="S20" s="9" t="n">
        <x:v>0</x:v>
      </x:c>
    </x:row>
    <x:row r="21" ht="64" customHeight="1">
      <x:c r="A21" s="18" t="n">
        <x:v>16</x:v>
      </x:c>
      <x:c r="B21" s="19" t="str">
        <x:v>OXEA Greece</x:v>
      </x:c>
      <x:c r="C21" s="20" t="str">
        <x:v>B</x:v>
      </x:c>
      <x:c r="D21" s="19" t="str">
        <x:v>Chemical distributor</x:v>
      </x:c>
      <x:c r="E21" s="19" t="str">
        <x:v>Athens / Thessaloniki</x:v>
      </x:c>
      <x:c r="F21" s="19" t="str">
        <x:v>Calcium carbonate</x:v>
      </x:c>
      <x:c r="G21" s="19" t="str">
        <x:v>Calcium carbonate chemical/mineral supply route.</x:v>
      </x:c>
      <x:c r="H21" s="19" t="str">
        <x:v>Specific product listing and local commercial network.</x:v>
      </x:c>
      <x:c r="I21" s="19" t="str">
        <x:v>Confirm grade, manufacturer, bulk quantity and dispatch location.</x:v>
      </x:c>
      <x:c r="J21" s="19" t="str">
        <x:v>Website product enquiry</x:v>
      </x:c>
      <x:c r="K21" s="22" t="str">
        <x:v>https://www.oxea.gr/en/</x:v>
      </x:c>
      <x:c r="L21" s="11" t="str"/>
      <x:c r="M21" s="22" t="str">
        <x:v>https://www.oxea.gr/en/products/calcium-carbonate</x:v>
      </x:c>
      <x:c r="N21" s="22" t="str"/>
      <x:c r="O21" s="19" t="str">
        <x:v>Company product listing</x:v>
      </x:c>
      <x:c r="P21" s="9" t="n">
        <x:v>0</x:v>
      </x:c>
      <x:c r="Q21" s="9" t="n">
        <x:v>0</x:v>
      </x:c>
      <x:c r="R21" s="9" t="n">
        <x:v>0</x:v>
      </x:c>
      <x:c r="S21" s="9" t="n">
        <x:v>1</x:v>
      </x:c>
    </x:row>
    <x:row r="22" ht="64" customHeight="1">
      <x:c r="A22" s="15" t="n">
        <x:v>17</x:v>
      </x:c>
      <x:c r="B22" s="16" t="str">
        <x:v>HTA Chemicals</x:v>
      </x:c>
      <x:c r="C22" s="17" t="str">
        <x:v>B</x:v>
      </x:c>
      <x:c r="D22" s="16" t="str">
        <x:v>Specialty distributor / agent</x:v>
      </x:c>
      <x:c r="E22" s="16" t="str">
        <x:v>Glyfada, Athens</x:v>
      </x:c>
      <x:c r="F22" s="16" t="str">
        <x:v>Kaolin</x:v>
      </x:c>
      <x:c r="G22" s="16" t="str">
        <x:v>Metaver metakaolin through Newchem. Construction/reactive filler rather than hydrous kaolin.</x:v>
      </x:c>
      <x:c r="H22" s="16" t="str">
        <x:v>Local Greek office, named technical contact and downloadable grade documents.</x:v>
      </x:c>
      <x:c r="I22" s="16" t="str">
        <x:v>Confirm precise calcined grade, current availability, MOQ and re-sale rights.</x:v>
      </x:c>
      <x:c r="J22" s="16" t="str">
        <x:v>office@htachemicals.com; +30 210 898 1166</x:v>
      </x:c>
      <x:c r="K22" s="21" t="str">
        <x:v>https://htachemicals.com/</x:v>
      </x:c>
      <x:c r="L22" s="11" t="str"/>
      <x:c r="M22" s="21" t="str">
        <x:v>https://catalogue.newchem.org/greece/product/Metaver%20I%2C%20K%2C%20M%2C%20N%2C%20O/377</x:v>
      </x:c>
      <x:c r="N22" s="21" t="str">
        <x:v>https://htachemicals.com/</x:v>
      </x:c>
      <x:c r="O22" s="16" t="str">
        <x:v>Company product listing</x:v>
      </x:c>
      <x:c r="P22" s="9" t="n">
        <x:v>0</x:v>
      </x:c>
      <x:c r="Q22" s="9" t="n">
        <x:v>1</x:v>
      </x:c>
      <x:c r="R22" s="9" t="n">
        <x:v>0</x:v>
      </x:c>
      <x:c r="S22" s="9" t="n">
        <x:v>0</x:v>
      </x:c>
    </x:row>
    <x:row r="23" ht="64" customHeight="1">
      <x:c r="A23" s="18" t="n">
        <x:v>18</x:v>
      </x:c>
      <x:c r="B23" s="19" t="str">
        <x:v>Peletico Hellas</x:v>
      </x:c>
      <x:c r="C23" s="20" t="str">
        <x:v>B</x:v>
      </x:c>
      <x:c r="D23" s="19" t="str">
        <x:v>Group distributor / local office</x:v>
      </x:c>
      <x:c r="E23" s="19" t="str">
        <x:v>Halandri, Athens; group production in Cyprus</x:v>
      </x:c>
      <x:c r="F23" s="19" t="str">
        <x:v>Calcium carbonate</x:v>
      </x:c>
      <x:c r="G23" s="19" t="str">
        <x:v>Peletico carbonate product route with Greek office contact.</x:v>
      </x:c>
      <x:c r="H23" s="19" t="str">
        <x:v>Manufacturer product sheet includes Greek commercial presence.</x:v>
      </x:c>
      <x:c r="I23" s="19" t="str">
        <x:v>Greece sales presence is not Greek origin. Confirm dispatch country, stock, grade and freight.</x:v>
      </x:c>
      <x:c r="J23" s="19" t="str">
        <x:v>+30 210 677 6661; group contact</x:v>
      </x:c>
      <x:c r="K23" s="22" t="str">
        <x:v>https://www.peletico.com/</x:v>
      </x:c>
      <x:c r="L23" s="11" t="str"/>
      <x:c r="M23" s="22" t="str">
        <x:v>https://www.peletico.com/en/industrial-minerals/calcium-carbonate?element=825400e4-7325-4fd4-9a1b-503f0e249c2b&amp;format=raw&amp;item_id=122&amp;method=download&amp;task=callelement</x:v>
      </x:c>
      <x:c r="N23" s="22" t="str"/>
      <x:c r="O23" s="19" t="str">
        <x:v>Company product listing</x:v>
      </x:c>
      <x:c r="P23" s="9" t="n">
        <x:v>0</x:v>
      </x:c>
      <x:c r="Q23" s="9" t="n">
        <x:v>0</x:v>
      </x:c>
      <x:c r="R23" s="9" t="n">
        <x:v>0</x:v>
      </x:c>
      <x:c r="S23" s="9" t="n">
        <x:v>1</x:v>
      </x:c>
    </x:row>
    <x:row r="24" ht="64" customHeight="1">
      <x:c r="A24" s="15" t="n">
        <x:v>19</x:v>
      </x:c>
      <x:c r="B24" s="16" t="str">
        <x:v>Zeolite Farm</x:v>
      </x:c>
      <x:c r="C24" s="17" t="str">
        <x:v>B</x:v>
      </x:c>
      <x:c r="D24" s="16" t="str">
        <x:v>Mineral distributor</x:v>
      </x:c>
      <x:c r="E24" s="16" t="str">
        <x:v>Thessaloniki region</x:v>
      </x:c>
      <x:c r="F24" s="16" t="str">
        <x:v>Bentonite</x:v>
      </x:c>
      <x:c r="G24" s="16" t="str">
        <x:v>Bagged bentonite and pallet-scale supply.</x:v>
      </x:c>
      <x:c r="H24" s="16" t="str">
        <x:v>Defined product/packaging route.</x:v>
      </x:c>
      <x:c r="I24" s="16" t="str">
        <x:v>Confirm activation, measured industrial properties, OEM identity and Europe delivery.</x:v>
      </x:c>
      <x:c r="J24" s="16" t="str">
        <x:v>+30 2310 780660; website contact</x:v>
      </x:c>
      <x:c r="K24" s="21" t="str">
        <x:v>https://zeolitefarm.gr/en/</x:v>
      </x:c>
      <x:c r="L24" s="11" t="str"/>
      <x:c r="M24" s="21" t="str">
        <x:v>https://zeolitefarm.gr/en/products/bentonite</x:v>
      </x:c>
      <x:c r="N24" s="21" t="str"/>
      <x:c r="O24" s="16" t="str">
        <x:v>Company product listing</x:v>
      </x:c>
      <x:c r="P24" s="9" t="n">
        <x:v>1</x:v>
      </x:c>
      <x:c r="Q24" s="9" t="n">
        <x:v>0</x:v>
      </x:c>
      <x:c r="R24" s="9" t="n">
        <x:v>0</x:v>
      </x:c>
      <x:c r="S24" s="9" t="n">
        <x:v>0</x:v>
      </x:c>
    </x:row>
    <x:row r="25" ht="64" customHeight="1">
      <x:c r="A25" s="18" t="n">
        <x:v>20</x:v>
      </x:c>
      <x:c r="B25" s="19" t="str">
        <x:v>Acrolithos</x:v>
      </x:c>
      <x:c r="C25" s="20" t="str">
        <x:v>C</x:v>
      </x:c>
      <x:c r="D25" s="19" t="str">
        <x:v>Bentonite processor</x:v>
      </x:c>
      <x:c r="E25" s="19" t="str">
        <x:v>Crete; Milos raw-material relationship</x:v>
      </x:c>
      <x:c r="F25" s="19" t="str">
        <x:v>Bentonite</x:v>
      </x:c>
      <x:c r="G25" s="19" t="str">
        <x:v>Processed bentonite primarily for cat litter/absorbents.</x:v>
      </x:c>
      <x:c r="H25" s="19" t="str">
        <x:v>Company describes bentonite processing and Greek supply relationships.</x:v>
      </x:c>
      <x:c r="I25" s="19" t="str">
        <x:v>Ask whether unmodified industrial powder is sold. Target drilling/foundry/GCL suitability is unconfirmed.</x:v>
      </x:c>
      <x:c r="J25" s="19" t="str">
        <x:v>Website commercial contact</x:v>
      </x:c>
      <x:c r="K25" s="22" t="str">
        <x:v>https://www.acrolithos.com.gr/en/</x:v>
      </x:c>
      <x:c r="L25" s="11" t="str"/>
      <x:c r="M25" s="22" t="str">
        <x:v>https://www.acrolithos.com.gr/en/about</x:v>
      </x:c>
      <x:c r="N25" s="22" t="str"/>
      <x:c r="O25" s="19" t="str">
        <x:v>Company product listing</x:v>
      </x:c>
      <x:c r="P25" s="9" t="n">
        <x:v>1</x:v>
      </x:c>
      <x:c r="Q25" s="9" t="n">
        <x:v>0</x:v>
      </x:c>
      <x:c r="R25" s="9" t="n">
        <x:v>0</x:v>
      </x:c>
      <x:c r="S25" s="9" t="n">
        <x:v>0</x:v>
      </x:c>
    </x:row>
    <x:row r="26" ht="64" customHeight="1">
      <x:c r="A26" s="15" t="n">
        <x:v>21</x:v>
      </x:c>
      <x:c r="B26" s="16" t="str">
        <x:v>Feri-Tri</x:v>
      </x:c>
      <x:c r="C26" s="17" t="str">
        <x:v>C</x:v>
      </x:c>
      <x:c r="D26" s="16" t="str">
        <x:v>Water-treatment materials supplier</x:v>
      </x:c>
      <x:c r="E26" s="16" t="str">
        <x:v>Greece</x:v>
      </x:c>
      <x:c r="F26" s="16" t="str">
        <x:v>Calcium carbonate</x:v>
      </x:c>
      <x:c r="G26" s="16" t="str">
        <x:v>Granulated carbonate for water-treatment applications.</x:v>
      </x:c>
      <x:c r="H26" s="16" t="str">
        <x:v>Specific product listing with water-treatment quality claims.</x:v>
      </x:c>
      <x:c r="I26" s="16" t="str">
        <x:v>Confirm current certificates. Granules are not a general coatings/paper filler.</x:v>
      </x:c>
      <x:c r="J26" s="16" t="str">
        <x:v>Website product enquiry</x:v>
      </x:c>
      <x:c r="K26" s="21" t="str">
        <x:v>https://feri-tri.gr/en/</x:v>
      </x:c>
      <x:c r="L26" s="11" t="str"/>
      <x:c r="M26" s="21" t="str">
        <x:v>https://feri-tri.gr/en/prod/anthrakiko-asvestio/</x:v>
      </x:c>
      <x:c r="N26" s="21" t="str"/>
      <x:c r="O26" s="16" t="str">
        <x:v>Company product listing</x:v>
      </x:c>
      <x:c r="P26" s="9" t="n">
        <x:v>0</x:v>
      </x:c>
      <x:c r="Q26" s="9" t="n">
        <x:v>0</x:v>
      </x:c>
      <x:c r="R26" s="9" t="n">
        <x:v>0</x:v>
      </x:c>
      <x:c r="S26" s="9" t="n">
        <x:v>1</x:v>
      </x:c>
    </x:row>
    <x:row r="27" ht="64" customHeight="1">
      <x:c r="A27" s="18" t="n">
        <x:v>22</x:v>
      </x:c>
      <x:c r="B27" s="19" t="str">
        <x:v>Droumtsekas</x:v>
      </x:c>
      <x:c r="C27" s="20" t="str">
        <x:v>C</x:v>
      </x:c>
      <x:c r="D27" s="19" t="str">
        <x:v>Feed raw-material supplier</x:v>
      </x:c>
      <x:c r="E27" s="19" t="str">
        <x:v>Greece</x:v>
      </x:c>
      <x:c r="F27" s="19" t="str">
        <x:v>Calcium carbonate</x:v>
      </x:c>
      <x:c r="G27" s="19" t="str">
        <x:v>Calcium carbonate for animal nutrition.</x:v>
      </x:c>
      <x:c r="H27" s="19" t="str">
        <x:v>Feed-material product route with local sales presence.</x:v>
      </x:c>
      <x:c r="I27" s="19" t="str">
        <x:v>Confirm feed registration, contaminants and export. Industrial filler grade is not established.</x:v>
      </x:c>
      <x:c r="J27" s="19" t="str">
        <x:v>Website commercial contact</x:v>
      </x:c>
      <x:c r="K27" s="22" t="str">
        <x:v>https://www.droumtsekas.gr/</x:v>
      </x:c>
      <x:c r="L27" s="11" t="str"/>
      <x:c r="M27" s="22" t="str">
        <x:v>https://www.droumtsekas.gr/anthrakiko-asvestio</x:v>
      </x:c>
      <x:c r="N27" s="22" t="str"/>
      <x:c r="O27" s="19" t="str">
        <x:v>Company product listing</x:v>
      </x:c>
      <x:c r="P27" s="9" t="n">
        <x:v>0</x:v>
      </x:c>
      <x:c r="Q27" s="9" t="n">
        <x:v>0</x:v>
      </x:c>
      <x:c r="R27" s="9" t="n">
        <x:v>0</x:v>
      </x:c>
      <x:c r="S27" s="9" t="n">
        <x:v>1</x:v>
      </x:c>
    </x:row>
    <x:row r="28" ht="64" customHeight="1">
      <x:c r="A28" s="15" t="n">
        <x:v>23</x:v>
      </x:c>
      <x:c r="B28" s="16" t="str">
        <x:v>Agrohellas</x:v>
      </x:c>
      <x:c r="C28" s="17" t="str">
        <x:v>C</x:v>
      </x:c>
      <x:c r="D28" s="16" t="str">
        <x:v>Agricultural / feed supplier</x:v>
      </x:c>
      <x:c r="E28" s="16" t="str">
        <x:v>Greece</x:v>
      </x:c>
      <x:c r="F28" s="16" t="str">
        <x:v>Calcium carbonate</x:v>
      </x:c>
      <x:c r="G28" s="16" t="str">
        <x:v>Marble powder/calcium carbonate for livestock, bagged.</x:v>
      </x:c>
      <x:c r="H28" s="16" t="str">
        <x:v>Published feed-product catalogue.</x:v>
      </x:c>
      <x:c r="I28" s="16" t="str">
        <x:v>Check carbonate assay and granulometry. Do not assume coatings/paper suitability.</x:v>
      </x:c>
      <x:c r="J28" s="16" t="str">
        <x:v>Website sales contact</x:v>
      </x:c>
      <x:c r="K28" s="21" t="str">
        <x:v>https://agrohellas.com/</x:v>
      </x:c>
      <x:c r="L28" s="11" t="str"/>
      <x:c r="M28" s="21" t="str">
        <x:v>https://agrohellas.com/ktinotrofia/marmaroskoni/</x:v>
      </x:c>
      <x:c r="N28" s="21" t="str"/>
      <x:c r="O28" s="16" t="str">
        <x:v>Company product listing</x:v>
      </x:c>
      <x:c r="P28" s="9" t="n">
        <x:v>0</x:v>
      </x:c>
      <x:c r="Q28" s="9" t="n">
        <x:v>0</x:v>
      </x:c>
      <x:c r="R28" s="9" t="n">
        <x:v>0</x:v>
      </x:c>
      <x:c r="S28" s="9" t="n">
        <x:v>1</x:v>
      </x:c>
    </x:row>
    <x:row r="29" ht="64" customHeight="1">
      <x:c r="A29" s="18" t="n">
        <x:v>24</x:v>
      </x:c>
      <x:c r="B29" s="19" t="str">
        <x:v>Ramfos — Ylikokeramiki</x:v>
      </x:c>
      <x:c r="C29" s="20" t="str">
        <x:v>C</x:v>
      </x:c>
      <x:c r="D29" s="19" t="str">
        <x:v>Ceramic raw-material distributor</x:v>
      </x:c>
      <x:c r="E29" s="19" t="str">
        <x:v>Greece</x:v>
      </x:c>
      <x:c r="F29" s="19" t="str">
        <x:v>Kaolin</x:v>
      </x:c>
      <x:c r="G29" s="19" t="str">
        <x:v>Kaolin / china clay for ceramics.</x:v>
      </x:c>
      <x:c r="H29" s="19" t="str">
        <x:v>Defined ceramic raw-material product page.</x:v>
      </x:c>
      <x:c r="I29" s="19" t="str">
        <x:v>Confirm industrial quantities, exact grade, brightness and export documentation.</x:v>
      </x:c>
      <x:c r="J29" s="19" t="str">
        <x:v>Website sales contact</x:v>
      </x:c>
      <x:c r="K29" s="22" t="str">
        <x:v>https://www.ramfos.gr/</x:v>
      </x:c>
      <x:c r="L29" s="11" t="str"/>
      <x:c r="M29" s="22" t="str">
        <x:v>https://www.ramfos.gr/product/kaolini-%CE%BAaolin-china-clay/</x:v>
      </x:c>
      <x:c r="N29" s="22" t="str"/>
      <x:c r="O29" s="19" t="str">
        <x:v>Company product listing</x:v>
      </x:c>
      <x:c r="P29" s="9" t="n">
        <x:v>0</x:v>
      </x:c>
      <x:c r="Q29" s="9" t="n">
        <x:v>1</x:v>
      </x:c>
      <x:c r="R29" s="9" t="n">
        <x:v>0</x:v>
      </x:c>
      <x:c r="S29" s="9" t="n">
        <x:v>0</x:v>
      </x:c>
    </x:row>
    <x:row r="30" ht="64" customHeight="1">
      <x:c r="A30" s="15" t="n">
        <x:v>25</x:v>
      </x:c>
      <x:c r="B30" s="16" t="str">
        <x:v>Giomtov</x:v>
      </x:c>
      <x:c r="C30" s="17" t="str">
        <x:v>C</x:v>
      </x:c>
      <x:c r="D30" s="16" t="str">
        <x:v>Materials distributor / retailer</x:v>
      </x:c>
      <x:c r="E30" s="16" t="str">
        <x:v>Greece</x:v>
      </x:c>
      <x:c r="F30" s="16" t="str">
        <x:v>Kaolin</x:v>
      </x:c>
      <x:c r="G30" s="16" t="str">
        <x:v>Kaolin in 25 kg bags.</x:v>
      </x:c>
      <x:c r="H30" s="16" t="str">
        <x:v>Published product and pack size.</x:v>
      </x:c>
      <x:c r="I30" s="16" t="str">
        <x:v>Bulk/export support and grade consistency unconfirmed. Ask for TDS and pallet pricing.</x:v>
      </x:c>
      <x:c r="J30" s="16" t="str">
        <x:v>Website enquiry</x:v>
      </x:c>
      <x:c r="K30" s="21" t="str">
        <x:v>https://giomtov.gr/</x:v>
      </x:c>
      <x:c r="L30" s="11" t="str"/>
      <x:c r="M30" s="21" t="str">
        <x:v>https://giomtov.gr/shop/%CE%BA%CE%B1%CE%BF%CE%BB%CE%B9%CE%BD%CE%B7-25-kg/</x:v>
      </x:c>
      <x:c r="N30" s="21" t="str"/>
      <x:c r="O30" s="16" t="str">
        <x:v>Company product listing</x:v>
      </x:c>
      <x:c r="P30" s="9" t="n">
        <x:v>0</x:v>
      </x:c>
      <x:c r="Q30" s="9" t="n">
        <x:v>1</x:v>
      </x:c>
      <x:c r="R30" s="9" t="n">
        <x:v>0</x:v>
      </x:c>
      <x:c r="S30" s="9" t="n">
        <x:v>0</x:v>
      </x:c>
    </x:row>
    <x:row r="31" ht="64" customHeight="1">
      <x:c r="A31" s="18" t="n">
        <x:v>26</x:v>
      </x:c>
      <x:c r="B31" s="19" t="str">
        <x:v>Papadopoulos Group</x:v>
      </x:c>
      <x:c r="C31" s="20" t="str">
        <x:v>C</x:v>
      </x:c>
      <x:c r="D31" s="19" t="str">
        <x:v>Building-material distributor</x:v>
      </x:c>
      <x:c r="E31" s="19" t="str">
        <x:v>Greece</x:v>
      </x:c>
      <x:c r="F31" s="19" t="str">
        <x:v>Kaolin</x:v>
      </x:c>
      <x:c r="G31" s="19" t="str">
        <x:v>Kaolin A/B in bagged construction-material catalogue.</x:v>
      </x:c>
      <x:c r="H31" s="19" t="str">
        <x:v>Company-hosted product catalogue.</x:v>
      </x:c>
      <x:c r="I31" s="19" t="str">
        <x:v>Confirm current catalogue validity, raw mineral grade and wholesale export availability.</x:v>
      </x:c>
      <x:c r="J31" s="19" t="str">
        <x:v>Website commercial contact</x:v>
      </x:c>
      <x:c r="K31" s="22" t="str">
        <x:v>https://papadopoulosgroup.gr/</x:v>
      </x:c>
      <x:c r="L31" s="11" t="str"/>
      <x:c r="M31" s="22" t="str">
        <x:v>https://papadopoulosgroup.gr/catalogs/domika-ilika.pdf</x:v>
      </x:c>
      <x:c r="N31" s="22" t="str"/>
      <x:c r="O31" s="19" t="str">
        <x:v>Company catalogue; current stock unverified</x:v>
      </x:c>
      <x:c r="P31" s="9" t="n">
        <x:v>0</x:v>
      </x:c>
      <x:c r="Q31" s="9" t="n">
        <x:v>1</x:v>
      </x:c>
      <x:c r="R31" s="9" t="n">
        <x:v>0</x:v>
      </x:c>
      <x:c r="S31" s="9" t="n">
        <x:v>0</x:v>
      </x:c>
    </x:row>
    <x:row r="32" ht="64" customHeight="1">
      <x:c r="A32" s="15" t="n">
        <x:v>27</x:v>
      </x:c>
      <x:c r="B32" s="16" t="str">
        <x:v>Pytheas Group</x:v>
      </x:c>
      <x:c r="C32" s="17" t="str">
        <x:v>C</x:v>
      </x:c>
      <x:c r="D32" s="16" t="str">
        <x:v>Surface-treatment materials supplier</x:v>
      </x:c>
      <x:c r="E32" s="16" t="str">
        <x:v>Greece</x:v>
      </x:c>
      <x:c r="F32" s="16" t="str">
        <x:v>Calcium carbonate</x:v>
      </x:c>
      <x:c r="G32" s="16" t="str">
        <x:v>Calcium carbonate blasting/surface-treatment media.</x:v>
      </x:c>
      <x:c r="H32" s="16" t="str">
        <x:v>Specialist application and materials supply.</x:v>
      </x:c>
      <x:c r="I32" s="16" t="str">
        <x:v>This is a narrow media grade, not proven micronized filler. Request PSD and bulk export terms.</x:v>
      </x:c>
      <x:c r="J32" s="16" t="str">
        <x:v>Website sales enquiry</x:v>
      </x:c>
      <x:c r="K32" s="21" t="str">
        <x:v>https://www.pytheasgroup.com/en/</x:v>
      </x:c>
      <x:c r="L32" s="11" t="str"/>
      <x:c r="M32" s="21" t="str">
        <x:v>https://www.pytheasgroup.com/en/%CE%B5%CF%80%CE%B1%CE%BD%CE%B1%CF%86%CE%BF%CF%81%CE%AC-%CE%B5%CF%80%CE%B9%CF%86%CE%AC%CE%BD%CE%B5%CE%B9%CE%B1%CF%82/</x:v>
      </x:c>
      <x:c r="N32" s="21" t="str"/>
      <x:c r="O32" s="16" t="str">
        <x:v>Company product listing</x:v>
      </x:c>
      <x:c r="P32" s="9" t="n">
        <x:v>0</x:v>
      </x:c>
      <x:c r="Q32" s="9" t="n">
        <x:v>0</x:v>
      </x:c>
      <x:c r="R32" s="9" t="n">
        <x:v>0</x:v>
      </x:c>
      <x:c r="S32" s="9" t="n">
        <x:v>1</x:v>
      </x:c>
    </x:row>
    <x:row r="33" ht="64" customHeight="1">
      <x:c r="A33" s="18" t="n">
        <x:v>28</x:v>
      </x:c>
      <x:c r="B33" s="19" t="str">
        <x:v>Analysis — Fakourelis</x:v>
      </x:c>
      <x:c r="C33" s="20" t="str">
        <x:v>C</x:v>
      </x:c>
      <x:c r="D33" s="19" t="str">
        <x:v>Laboratory / oenology supplier</x:v>
      </x:c>
      <x:c r="E33" s="19" t="str">
        <x:v>Crete</x:v>
      </x:c>
      <x:c r="F33" s="19" t="str">
        <x:v>Calcium carbonate</x:v>
      </x:c>
      <x:c r="G33" s="19" t="str">
        <x:v>Calcium carbonate product route for specialist users.</x:v>
      </x:c>
      <x:c r="H33" s="19" t="str">
        <x:v>Local specialist product catalogue.</x:v>
      </x:c>
      <x:c r="I33" s="19" t="str">
        <x:v>Small-lot / oenology focus. Industrial mineral volumes and grades are unconfirmed.</x:v>
      </x:c>
      <x:c r="J33" s="19" t="str">
        <x:v>Website commercial contact</x:v>
      </x:c>
      <x:c r="K33" s="22" t="str">
        <x:v>https://www.analysis1989.gr/en/</x:v>
      </x:c>
      <x:c r="L33" s="11" t="str"/>
      <x:c r="M33" s="22" t="str">
        <x:v>https://www.analysis1989.gr/en/products/</x:v>
      </x:c>
      <x:c r="N33" s="22" t="str"/>
      <x:c r="O33" s="19" t="str">
        <x:v>Company product listing</x:v>
      </x:c>
      <x:c r="P33" s="9" t="n">
        <x:v>0</x:v>
      </x:c>
      <x:c r="Q33" s="9" t="n">
        <x:v>0</x:v>
      </x:c>
      <x:c r="R33" s="9" t="n">
        <x:v>0</x:v>
      </x:c>
      <x:c r="S33" s="9" t="n">
        <x:v>1</x:v>
      </x:c>
    </x:row>
    <x:row r="34" ht="64" customHeight="1">
      <x:c r="A34" s="15" t="n">
        <x:v>29</x:v>
      </x:c>
      <x:c r="B34" s="16" t="str">
        <x:v>Science Shop</x:v>
      </x:c>
      <x:c r="C34" s="17" t="str">
        <x:v>C</x:v>
      </x:c>
      <x:c r="D34" s="16" t="str">
        <x:v>Laboratory / chemical retailer</x:v>
      </x:c>
      <x:c r="E34" s="16" t="str">
        <x:v>Greece</x:v>
      </x:c>
      <x:c r="F34" s="16" t="str">
        <x:v>Calcium carbonate</x:v>
      </x:c>
      <x:c r="G34" s="16" t="str">
        <x:v>Calcium carbonate in chemical catalogue, including bagged supply.</x:v>
      </x:c>
      <x:c r="H34" s="16" t="str">
        <x:v>Published chemical sales route.</x:v>
      </x:c>
      <x:c r="I34" s="16" t="str">
        <x:v>Low priority for bulk mineral procurement. Confirm grade, commercial quantity and export.</x:v>
      </x:c>
      <x:c r="J34" s="16" t="str">
        <x:v>Website sales contact</x:v>
      </x:c>
      <x:c r="K34" s="21" t="str">
        <x:v>https://www.scienceshop.gr/</x:v>
      </x:c>
      <x:c r="L34" s="11" t="str"/>
      <x:c r="M34" s="21" t="str">
        <x:v>https://www.scienceshop.gr/eshop2.php</x:v>
      </x:c>
      <x:c r="N34" s="21" t="str"/>
      <x:c r="O34" s="16" t="str">
        <x:v>Company product listing</x:v>
      </x:c>
      <x:c r="P34" s="9" t="n">
        <x:v>0</x:v>
      </x:c>
      <x:c r="Q34" s="9" t="n">
        <x:v>0</x:v>
      </x:c>
      <x:c r="R34" s="9" t="n">
        <x:v>0</x:v>
      </x:c>
      <x:c r="S34" s="9" t="n">
        <x:v>1</x:v>
      </x:c>
    </x:row>
    <x:row r="35" ht="64" customHeight="1">
      <x:c r="A35" s="18" t="n">
        <x:v>30</x:v>
      </x:c>
      <x:c r="B35" s="19" t="str">
        <x:v>Ampelooeniki</x:v>
      </x:c>
      <x:c r="C35" s="20" t="str">
        <x:v>C</x:v>
      </x:c>
      <x:c r="D35" s="19" t="str">
        <x:v>Oenology distributor</x:v>
      </x:c>
      <x:c r="E35" s="19" t="str">
        <x:v>Greece</x:v>
      </x:c>
      <x:c r="F35" s="19" t="str">
        <x:v>Bentonite</x:v>
      </x:c>
      <x:c r="G35" s="19" t="str">
        <x:v>Wine-treatment bentonite, not demonstrated drilling/foundry/GCL grade.</x:v>
      </x:c>
      <x:c r="H35" s="19" t="str">
        <x:v>Company-hosted technical sheet for a specific bentonite product.</x:v>
      </x:c>
      <x:c r="I35" s="19" t="str">
        <x:v>Niche-grade lead only. Industrial raw bentonite sales and full-load economics unconfirmed.</x:v>
      </x:c>
      <x:c r="J35" s="19" t="str">
        <x:v>Website product enquiry</x:v>
      </x:c>
      <x:c r="K35" s="22" t="str">
        <x:v>https://ampelooeniki.gr/</x:v>
      </x:c>
      <x:c r="L35" s="11" t="str"/>
      <x:c r="M35" s="22" t="str">
        <x:v>https://ampelooeniki.gr/wp-content/uploads/2023/07/FT_MV_BENTONITE_2_gr.pdf</x:v>
      </x:c>
      <x:c r="N35" s="22" t="str"/>
      <x:c r="O35" s="19" t="str">
        <x:v>Company product listing</x:v>
      </x:c>
      <x:c r="P35" s="9" t="n">
        <x:v>1</x:v>
      </x:c>
      <x:c r="Q35" s="9" t="n">
        <x:v>0</x:v>
      </x:c>
      <x:c r="R35" s="9" t="n">
        <x:v>0</x:v>
      </x:c>
      <x:c r="S35" s="9" t="n">
        <x:v>0</x:v>
      </x:c>
    </x:row>
  </x:sheetData>
  <x:conditionalFormatting sqref="C6:C35">
    <x:cfRule type="containsText" dxfId="2" priority="1" operator="containsText" text="C"/>
  </x:conditionalFormatting>
  <x:pageMargins left="0.7" right="0.7" top="0.75" bottom="0.75" header="0.3" footer="0.3"/>
  <x:tableParts count="1">
    <x:tablePart xmlns:r="http://schemas.openxmlformats.org/officeDocument/2006/relationships" r:id="Rc8affa955e2a4a98"/>
  </x:tableParts>
</x:worksheet>
</file>

<file path=xl/worksheets/sheet5.xml><?xml version="1.0" encoding="utf-8"?>
<x:worksheet xmlns:x="http://schemas.openxmlformats.org/spreadsheetml/2006/main">
  <x:sheetPr>
    <x:tabColor rgb="FF24364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1" max="1" width="7" hidden="0" customWidth="1"/>
    <x:col min="2" max="2" width="36" hidden="0" customWidth="1"/>
    <x:col min="3" max="3" width="10" hidden="0" customWidth="1"/>
    <x:col min="4" max="4" width="28" hidden="0" customWidth="1"/>
    <x:col min="5" max="5" width="30" hidden="0" customWidth="1"/>
    <x:col min="6" max="6" width="30" hidden="0" customWidth="1"/>
    <x:col min="7" max="7" width="48" hidden="0" customWidth="1"/>
    <x:col min="8" max="8" width="48" hidden="0" customWidth="1"/>
    <x:col min="9" max="9" width="49" hidden="0" customWidth="1"/>
    <x:col min="10" max="10" width="38" hidden="0" customWidth="1"/>
    <x:col min="11" max="11" width="38" hidden="0" customWidth="1"/>
    <x:col min="12" max="12" width="3" hidden="0" customWidth="1"/>
    <x:col min="13" max="13" width="58" hidden="0" customWidth="1"/>
    <x:col min="14" max="14" width="58" hidden="0" customWidth="1"/>
    <x:col min="15" max="15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Turkey supplier priorities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4" t="str">
        <x:v>30 candidates across the four minerals. Rank is RFQ priority, not measured service performance.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 t="str">
        <x:v>Material flags: 1 = listed route, 0 = not identified. Includes limited-fit grades.</x:v>
      </x:c>
      <x:c r="Q3" s="2"/>
      <x:c r="R3" s="2"/>
      <x:c r="S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6" customHeight="1">
      <x:c r="A5" s="8" t="str">
        <x:v>Rank</x:v>
      </x:c>
      <x:c r="B5" s="8" t="str">
        <x:v>Supplier</x:v>
      </x:c>
      <x:c r="C5" s="8" t="str">
        <x:v>Priority</x:v>
      </x:c>
      <x:c r="D5" s="8" t="str">
        <x:v>Supplier type</x:v>
      </x:c>
      <x:c r="E5" s="8" t="str">
        <x:v>Location / origin note</x:v>
      </x:c>
      <x:c r="F5" s="8" t="str">
        <x:v>Materials</x:v>
      </x:c>
      <x:c r="G5" s="8" t="str">
        <x:v>Product / application fit</x:v>
      </x:c>
      <x:c r="H5" s="8" t="str">
        <x:v>Public service evidence</x:v>
      </x:c>
      <x:c r="I5" s="8" t="str">
        <x:v>Confirm before buying</x:v>
      </x:c>
      <x:c r="J5" s="8" t="str">
        <x:v>Public contact route</x:v>
      </x:c>
      <x:c r="K5" s="8" t="str">
        <x:v>Website</x:v>
      </x:c>
      <x:c r="L5" s="2" t="str"/>
      <x:c r="M5" s="8" t="str">
        <x:v>Source 1</x:v>
      </x:c>
      <x:c r="N5" s="8" t="str">
        <x:v>Source 2</x:v>
      </x:c>
      <x:c r="O5" s="8" t="str">
        <x:v>Evidence basis</x:v>
      </x:c>
      <x:c r="P5" s="8" t="str">
        <x:v>Bentonite</x:v>
      </x:c>
      <x:c r="Q5" s="8" t="str">
        <x:v>Kaolin</x:v>
      </x:c>
      <x:c r="R5" s="8" t="str">
        <x:v>Bleaching earth</x:v>
      </x:c>
      <x:c r="S5" s="8" t="str">
        <x:v>Calcium carbonate</x:v>
      </x:c>
    </x:row>
    <x:row r="6" ht="64" customHeight="1">
      <x:c r="A6" s="15" t="n">
        <x:v>1</x:v>
      </x:c>
      <x:c r="B6" s="16" t="str">
        <x:v>Karakaya Bentonite</x:v>
      </x:c>
      <x:c r="C6" s="17" t="str">
        <x:v>A</x:v>
      </x:c>
      <x:c r="D6" s="16" t="str">
        <x:v>Miner / processor / exporter</x:v>
      </x:c>
      <x:c r="E6" s="16" t="str">
        <x:v>Multiple Turkish mining regions</x:v>
      </x:c>
      <x:c r="F6" s="16" t="str">
        <x:v>Bentonite</x:v>
      </x:c>
      <x:c r="G6" s="16" t="str">
        <x:v>KARFND foundry, KARPLT pelletizing and civil/drilling bentonite routes.</x:v>
      </x:c>
      <x:c r="H6" s="16" t="str">
        <x:v>Own mineral resources, application laboratory and after-sales support described.</x:v>
      </x:c>
      <x:c r="I6" s="16" t="str">
        <x:v>Confirm grade tests, production site, bag/big-bag options and Netherlands delivery.</x:v>
      </x:c>
      <x:c r="J6" s="16" t="str">
        <x:v>Website international sales contact</x:v>
      </x:c>
      <x:c r="K6" s="21" t="str">
        <x:v>https://www.karakaya.com.tr/en/</x:v>
      </x:c>
      <x:c r="L6" s="11" t="str"/>
      <x:c r="M6" s="21" t="str">
        <x:v>https://www.karakaya.com.tr/en/aboutus/</x:v>
      </x:c>
      <x:c r="N6" s="21" t="str">
        <x:v>https://www.karakaya.com.tr/en/products/</x:v>
      </x:c>
      <x:c r="O6" s="16" t="str">
        <x:v>Company product listing</x:v>
      </x:c>
      <x:c r="P6" s="9" t="n">
        <x:v>1</x:v>
      </x:c>
      <x:c r="Q6" s="9" t="n">
        <x:v>0</x:v>
      </x:c>
      <x:c r="R6" s="9" t="n">
        <x:v>0</x:v>
      </x:c>
      <x:c r="S6" s="9" t="n">
        <x:v>0</x:v>
      </x:c>
    </x:row>
    <x:row r="7" ht="64" customHeight="1">
      <x:c r="A7" s="18" t="n">
        <x:v>2</x:v>
      </x:c>
      <x:c r="B7" s="19" t="str">
        <x:v>Çanbensan</x:v>
      </x:c>
      <x:c r="C7" s="20" t="str">
        <x:v>A</x:v>
      </x:c>
      <x:c r="D7" s="19" t="str">
        <x:v>Miner / processor</x:v>
      </x:c>
      <x:c r="E7" s="19" t="str">
        <x:v>Çankırı</x:v>
      </x:c>
      <x:c r="F7" s="19" t="str">
        <x:v>Bentonite</x:v>
      </x:c>
      <x:c r="G7" s="19" t="str">
        <x:v>Foundry, drilling and specification-led civil-engineering grades.</x:v>
      </x:c>
      <x:c r="H7" s="19" t="str">
        <x:v>Company describes mine-to-product operations and international supply.</x:v>
      </x:c>
      <x:c r="I7" s="19" t="str">
        <x:v>Request exact test specification, current capacity allocation and export quote.</x:v>
      </x:c>
      <x:c r="J7" s="19" t="str">
        <x:v>sales@canbensan.com</x:v>
      </x:c>
      <x:c r="K7" s="22" t="str">
        <x:v>https://www.canbensan.com/</x:v>
      </x:c>
      <x:c r="L7" s="11" t="str"/>
      <x:c r="M7" s="22" t="str">
        <x:v>https://www.canbensan.com/</x:v>
      </x:c>
      <x:c r="N7" s="22" t="str"/>
      <x:c r="O7" s="19" t="str">
        <x:v>Company product listing</x:v>
      </x:c>
      <x:c r="P7" s="9" t="n">
        <x:v>1</x:v>
      </x:c>
      <x:c r="Q7" s="9" t="n">
        <x:v>0</x:v>
      </x:c>
      <x:c r="R7" s="9" t="n">
        <x:v>0</x:v>
      </x:c>
      <x:c r="S7" s="9" t="n">
        <x:v>0</x:v>
      </x:c>
    </x:row>
    <x:row r="8" ht="64" customHeight="1">
      <x:c r="A8" s="15" t="n">
        <x:v>3</x:v>
      </x:c>
      <x:c r="B8" s="16" t="str">
        <x:v>Niğtaş</x:v>
      </x:c>
      <x:c r="C8" s="17" t="str">
        <x:v>A</x:v>
      </x:c>
      <x:c r="D8" s="16" t="str">
        <x:v>Miner / calcium carbonate processor</x:v>
      </x:c>
      <x:c r="E8" s="16" t="str">
        <x:v>Niğde and Turkish facilities</x:v>
      </x:c>
      <x:c r="F8" s="16" t="str">
        <x:v>Calcium carbonate</x:v>
      </x:c>
      <x:c r="G8" s="16" t="str">
        <x:v>Micronized, coated and granulated calcium carbonate.</x:v>
      </x:c>
      <x:c r="H8" s="16" t="str">
        <x:v>Company publishes laboratory/QC resources and its own road/rail logistics capabilities.</x:v>
      </x:c>
      <x:c r="I8" s="16" t="str">
        <x:v>Confirm grade, PSD, coating, lot consistency and a delivered Netherlands quote.</x:v>
      </x:c>
      <x:c r="J8" s="16" t="str">
        <x:v>Website export-sales enquiry</x:v>
      </x:c>
      <x:c r="K8" s="21" t="str">
        <x:v>https://www.nigtas.com/en/</x:v>
      </x:c>
      <x:c r="L8" s="11" t="str"/>
      <x:c r="M8" s="21" t="str">
        <x:v>https://www.nigtas.com/en/advantages/</x:v>
      </x:c>
      <x:c r="N8" s="21" t="str"/>
      <x:c r="O8" s="16" t="str">
        <x:v>Company product listing</x:v>
      </x:c>
      <x:c r="P8" s="9" t="n">
        <x:v>0</x:v>
      </x:c>
      <x:c r="Q8" s="9" t="n">
        <x:v>0</x:v>
      </x:c>
      <x:c r="R8" s="9" t="n">
        <x:v>0</x:v>
      </x:c>
      <x:c r="S8" s="9" t="n">
        <x:v>1</x:v>
      </x:c>
    </x:row>
    <x:row r="9" ht="64" customHeight="1">
      <x:c r="A9" s="18" t="n">
        <x:v>4</x:v>
      </x:c>
      <x:c r="B9" s="19" t="str">
        <x:v>Omya Turkey</x:v>
      </x:c>
      <x:c r="C9" s="20" t="str">
        <x:v>A</x:v>
      </x:c>
      <x:c r="D9" s="19" t="str">
        <x:v>Calcium carbonate producer</x:v>
      </x:c>
      <x:c r="E9" s="19" t="str">
        <x:v>Karabiga / Kemalpaşa and other Turkish plants</x:v>
      </x:c>
      <x:c r="F9" s="19" t="str">
        <x:v>Calcium carbonate</x:v>
      </x:c>
      <x:c r="G9" s="19" t="str">
        <x:v>Turkish-origin Omyacarb / Calcipur carbonate grades.</x:v>
      </x:c>
      <x:c r="H9" s="19" t="str">
        <x:v>Global technical support and plant-linked product documentation.</x:v>
      </x:c>
      <x:c r="I9" s="19" t="str">
        <x:v>Ask for the appropriate industrial grade and Turkish dispatch site, not just a group-level offer.</x:v>
      </x:c>
      <x:c r="J9" s="19" t="str">
        <x:v>Omya country sales enquiry</x:v>
      </x:c>
      <x:c r="K9" s="22" t="str">
        <x:v>https://www.omya.com/</x:v>
      </x:c>
      <x:c r="L9" s="11" t="str"/>
      <x:c r="M9" s="22" t="str">
        <x:v>https://www.omya.com/Documents/COG%20Microsites/COG_ABR_Cereals_and_Snacks_EN.pdf</x:v>
      </x:c>
      <x:c r="N9" s="22" t="str">
        <x:v>https://www.kimteks.org/en/wp-content/uploads/2020/11/Omyacarb%C2%AE-%E2%80%93-KA-GRANUL-SERISI-_-TR.pdf</x:v>
      </x:c>
      <x:c r="O9" s="19" t="str">
        <x:v>Company product listing</x:v>
      </x:c>
      <x:c r="P9" s="9" t="n">
        <x:v>0</x:v>
      </x:c>
      <x:c r="Q9" s="9" t="n">
        <x:v>0</x:v>
      </x:c>
      <x:c r="R9" s="9" t="n">
        <x:v>0</x:v>
      </x:c>
      <x:c r="S9" s="9" t="n">
        <x:v>1</x:v>
      </x:c>
    </x:row>
    <x:row r="10" ht="64" customHeight="1">
      <x:c r="A10" s="15" t="n">
        <x:v>5</x:v>
      </x:c>
      <x:c r="B10" s="16" t="str">
        <x:v>Clariant Turkey — TONSIL</x:v>
      </x:c>
      <x:c r="C10" s="17" t="str">
        <x:v>A</x:v>
      </x:c>
      <x:c r="D10" s="16" t="str">
        <x:v>Producer / global group</x:v>
      </x:c>
      <x:c r="E10" s="16" t="str">
        <x:v>Turkey production site; dispatch to confirm</x:v>
      </x:c>
      <x:c r="F10" s="16" t="str">
        <x:v>Bleaching earth</x:v>
      </x:c>
      <x:c r="G10" s="16" t="str">
        <x:v>Activated earth for oil purification and refining.</x:v>
      </x:c>
      <x:c r="H10" s="16" t="str">
        <x:v>Global Oil Purification team offers laboratory and on-site services. Turkey is listed as a production country.</x:v>
      </x:c>
      <x:c r="I10" s="16" t="str">
        <x:v>Confirm Turkish-origin grades, activation acid, normal/fast filtration and EU documentation.</x:v>
      </x:c>
      <x:c r="J10" s="16" t="str">
        <x:v>Oil Purification enquiry form</x:v>
      </x:c>
      <x:c r="K10" s="21" t="str">
        <x:v>https://www.clariant.com/en/Business-Units/Additives-and-Adsorbents/Oil-Purification</x:v>
      </x:c>
      <x:c r="L10" s="11" t="str"/>
      <x:c r="M10" s="21" t="str">
        <x:v>https://www.clariant.com/en/Business-Units/Additives-and-Adsorbents/Oil-Purification</x:v>
      </x:c>
      <x:c r="N10" s="21" t="str"/>
      <x:c r="O10" s="16" t="str">
        <x:v>Company product listing</x:v>
      </x:c>
      <x:c r="P10" s="9" t="n">
        <x:v>0</x:v>
      </x:c>
      <x:c r="Q10" s="9" t="n">
        <x:v>0</x:v>
      </x:c>
      <x:c r="R10" s="9" t="n">
        <x:v>1</x:v>
      </x:c>
      <x:c r="S10" s="9" t="n">
        <x:v>0</x:v>
      </x:c>
    </x:row>
    <x:row r="11" ht="64" customHeight="1">
      <x:c r="A11" s="18" t="n">
        <x:v>6</x:v>
      </x:c>
      <x:c r="B11" s="19" t="str">
        <x:v>NB Global</x:v>
      </x:c>
      <x:c r="C11" s="20" t="str">
        <x:v>A</x:v>
      </x:c>
      <x:c r="D11" s="19" t="str">
        <x:v>Bleaching earth producer</x:v>
      </x:c>
      <x:c r="E11" s="19" t="str">
        <x:v>Turkey; exact plant to confirm</x:v>
      </x:c>
      <x:c r="F11" s="19" t="str">
        <x:v>Bleaching earth</x:v>
      </x:c>
      <x:c r="G11" s="19" t="str">
        <x:v>Oil-specific bleaching earth grades for palm, olive, canola, pomace and soybean oils.</x:v>
      </x:c>
      <x:c r="H11" s="19" t="str">
        <x:v>Describes own deposits, laboratory testing, R&amp;D and application consultancy.</x:v>
      </x:c>
      <x:c r="I11" s="19" t="str">
        <x:v>Verify certificate scope, activation chemistry, contamination tests and side-by-side oil performance.</x:v>
      </x:c>
      <x:c r="J11" s="19" t="str">
        <x:v>info@nb-global.com.tr; +90 533 436 1926</x:v>
      </x:c>
      <x:c r="K11" s="22" t="str">
        <x:v>https://nb-global.com.tr/en</x:v>
      </x:c>
      <x:c r="L11" s="11" t="str"/>
      <x:c r="M11" s="22" t="str">
        <x:v>https://nb-global.com.tr/en</x:v>
      </x:c>
      <x:c r="N11" s="22" t="str"/>
      <x:c r="O11" s="19" t="str">
        <x:v>Company product listing</x:v>
      </x:c>
      <x:c r="P11" s="9" t="n">
        <x:v>0</x:v>
      </x:c>
      <x:c r="Q11" s="9" t="n">
        <x:v>0</x:v>
      </x:c>
      <x:c r="R11" s="9" t="n">
        <x:v>1</x:v>
      </x:c>
      <x:c r="S11" s="9" t="n">
        <x:v>0</x:v>
      </x:c>
    </x:row>
    <x:row r="12" ht="64" customHeight="1">
      <x:c r="A12" s="15" t="n">
        <x:v>7</x:v>
      </x:c>
      <x:c r="B12" s="16" t="str">
        <x:v>Esan</x:v>
      </x:c>
      <x:c r="C12" s="17" t="str">
        <x:v>A</x:v>
      </x:c>
      <x:c r="D12" s="16" t="str">
        <x:v>Miner / processor</x:v>
      </x:c>
      <x:c r="E12" s="16" t="str">
        <x:v>Turkey; kaolin plant to confirm</x:v>
      </x:c>
      <x:c r="F12" s="16" t="str">
        <x:v>Kaolin</x:v>
      </x:c>
      <x:c r="G12" s="16" t="str">
        <x:v>Raw and filtered kaolin for porcelain, sanitaryware and tiles.</x:v>
      </x:c>
      <x:c r="H12" s="16" t="str">
        <x:v>Dedicated mineral producer with application-specific kaolin portfolio.</x:v>
      </x:c>
      <x:c r="I12" s="16" t="str">
        <x:v>Confirm brightness method, fired colour, PSD and coating/paper options if needed.</x:v>
      </x:c>
      <x:c r="J12" s="16" t="str">
        <x:v>Website sales contact</x:v>
      </x:c>
      <x:c r="K12" s="21" t="str">
        <x:v>https://www.esan.com.tr/en/</x:v>
      </x:c>
      <x:c r="L12" s="11" t="str"/>
      <x:c r="M12" s="21" t="str">
        <x:v>https://www.esan.com.tr/en/products/kaolin</x:v>
      </x:c>
      <x:c r="N12" s="21" t="str"/>
      <x:c r="O12" s="16" t="str">
        <x:v>Company product listing</x:v>
      </x:c>
      <x:c r="P12" s="9" t="n">
        <x:v>0</x:v>
      </x:c>
      <x:c r="Q12" s="9" t="n">
        <x:v>1</x:v>
      </x:c>
      <x:c r="R12" s="9" t="n">
        <x:v>0</x:v>
      </x:c>
      <x:c r="S12" s="9" t="n">
        <x:v>0</x:v>
      </x:c>
    </x:row>
    <x:row r="13" ht="64" customHeight="1">
      <x:c r="A13" s="18" t="n">
        <x:v>8</x:v>
      </x:c>
      <x:c r="B13" s="19" t="str">
        <x:v>Egemin Madencilik</x:v>
      </x:c>
      <x:c r="C13" s="20" t="str">
        <x:v>A</x:v>
      </x:c>
      <x:c r="D13" s="19" t="str">
        <x:v>Mineral processor</x:v>
      </x:c>
      <x:c r="E13" s="19" t="str">
        <x:v>Kemalpaşa, İzmir</x:v>
      </x:c>
      <x:c r="F13" s="19" t="str">
        <x:v>Kaolin; Calcium carbonate</x:v>
      </x:c>
      <x:c r="G13" s="19" t="str">
        <x:v>Egekaolen micronized kaolin and Egekalsit calcium carbonate for coatings, ceramics and fillers.</x:v>
      </x:c>
      <x:c r="H13" s="19" t="str">
        <x:v>Publishes in-house lab control, customer-specific grades and proximity to İzmir port.</x:v>
      </x:c>
      <x:c r="I13" s="19" t="str">
        <x:v>Request exact technical analysis, packing and export quote. Separate agricultural kaolin from industrial grades.</x:v>
      </x:c>
      <x:c r="J13" s="19" t="str">
        <x:v>info@egemin.com.tr; +90 232 877 0277</x:v>
      </x:c>
      <x:c r="K13" s="22" t="str">
        <x:v>https://egemin.com.tr/en/</x:v>
      </x:c>
      <x:c r="L13" s="11" t="str"/>
      <x:c r="M13" s="22" t="str">
        <x:v>https://egemin.com.tr/en/about-us</x:v>
      </x:c>
      <x:c r="N13" s="22" t="str">
        <x:v>https://egemin.com.tr/en/egekaolen-micronized-kaolin</x:v>
      </x:c>
      <x:c r="O13" s="19" t="str">
        <x:v>Company product listing</x:v>
      </x:c>
      <x:c r="P13" s="9" t="n">
        <x:v>0</x:v>
      </x:c>
      <x:c r="Q13" s="9" t="n">
        <x:v>1</x:v>
      </x:c>
      <x:c r="R13" s="9" t="n">
        <x:v>0</x:v>
      </x:c>
      <x:c r="S13" s="9" t="n">
        <x:v>1</x:v>
      </x:c>
    </x:row>
    <x:row r="14" ht="64" customHeight="1">
      <x:c r="A14" s="15" t="n">
        <x:v>9</x:v>
      </x:c>
      <x:c r="B14" s="16" t="str">
        <x:v>Mikron’S</x:v>
      </x:c>
      <x:c r="C14" s="17" t="str">
        <x:v>A</x:v>
      </x:c>
      <x:c r="D14" s="16" t="str">
        <x:v>Calcium carbonate processor</x:v>
      </x:c>
      <x:c r="E14" s="16" t="str">
        <x:v>Turkey; dispatch plant to confirm</x:v>
      </x:c>
      <x:c r="F14" s="16" t="str">
        <x:v>Calcium carbonate</x:v>
      </x:c>
      <x:c r="G14" s="16" t="str">
        <x:v>TURKCARB and other micronized carbonate grades.</x:v>
      </x:c>
      <x:c r="H14" s="16" t="str">
        <x:v>Detailed branded mineral product portfolio.</x:v>
      </x:c>
      <x:c r="I14" s="16" t="str">
        <x:v>Confirm coating, particle-size distribution, brightness and current export lead time.</x:v>
      </x:c>
      <x:c r="J14" s="16" t="str">
        <x:v>Website international sales contact</x:v>
      </x:c>
      <x:c r="K14" s="21" t="str">
        <x:v>https://www.mikrons.com.tr/en/</x:v>
      </x:c>
      <x:c r="L14" s="11" t="str"/>
      <x:c r="M14" s="21" t="str">
        <x:v>https://www.mikrons.com.tr/en/product/detailmain/99</x:v>
      </x:c>
      <x:c r="N14" s="21" t="str"/>
      <x:c r="O14" s="16" t="str">
        <x:v>Company product listing</x:v>
      </x:c>
      <x:c r="P14" s="9" t="n">
        <x:v>0</x:v>
      </x:c>
      <x:c r="Q14" s="9" t="n">
        <x:v>0</x:v>
      </x:c>
      <x:c r="R14" s="9" t="n">
        <x:v>0</x:v>
      </x:c>
      <x:c r="S14" s="9" t="n">
        <x:v>1</x:v>
      </x:c>
    </x:row>
    <x:row r="15" ht="64" customHeight="1">
      <x:c r="A15" s="18" t="n">
        <x:v>10</x:v>
      </x:c>
      <x:c r="B15" s="19" t="str">
        <x:v>Samaş — Karben brand</x:v>
      </x:c>
      <x:c r="C15" s="20" t="str">
        <x:v>B</x:v>
      </x:c>
      <x:c r="D15" s="19" t="str">
        <x:v>Bentonite producer / brand owner</x:v>
      </x:c>
      <x:c r="E15" s="19" t="str">
        <x:v>Turkey; dispatch plant to confirm</x:v>
      </x:c>
      <x:c r="F15" s="19" t="str">
        <x:v>Bentonite</x:v>
      </x:c>
      <x:c r="G15" s="19" t="str">
        <x:v>Industrial bentonite supply via Samaş / Karben.</x:v>
      </x:c>
      <x:c r="H15" s="19" t="str">
        <x:v>Karben brand/customer-contract acquisition by Samaş is documented in a 2024 competition decision.</x:v>
      </x:c>
      <x:c r="I15" s="19" t="str">
        <x:v>Confirm current selling entity, plant and industrial grades. Do not count Karben as an independent second supplier.</x:v>
      </x:c>
      <x:c r="J15" s="19" t="str">
        <x:v>Current group commercial enquiry</x:v>
      </x:c>
      <x:c r="K15" s="22" t="str">
        <x:v>https://www.samas.com.tr/</x:v>
      </x:c>
      <x:c r="L15" s="11" t="str"/>
      <x:c r="M15" s="22" t="str">
        <x:v>https://www.karben.com.tr/</x:v>
      </x:c>
      <x:c r="N15" s="22" t="str">
        <x:v>https://www.rekabet.gov.tr/tr/SonKurulKarari/0c9c4c8a-84d0-ee11-93c8-0050568585c9</x:v>
      </x:c>
      <x:c r="O15" s="19" t="str">
        <x:v>Company product route + government transaction record</x:v>
      </x:c>
      <x:c r="P15" s="9" t="n">
        <x:v>1</x:v>
      </x:c>
      <x:c r="Q15" s="9" t="n">
        <x:v>0</x:v>
      </x:c>
      <x:c r="R15" s="9" t="n">
        <x:v>0</x:v>
      </x:c>
      <x:c r="S15" s="9" t="n">
        <x:v>0</x:v>
      </x:c>
    </x:row>
    <x:row r="16" ht="64" customHeight="1">
      <x:c r="A16" s="15" t="n">
        <x:v>11</x:v>
      </x:c>
      <x:c r="B16" s="16" t="str">
        <x:v>Montera</x:v>
      </x:c>
      <x:c r="C16" s="17" t="str">
        <x:v>B</x:v>
      </x:c>
      <x:c r="D16" s="16" t="str">
        <x:v>Bleaching earth producer</x:v>
      </x:c>
      <x:c r="E16" s="16" t="str">
        <x:v>Turkey</x:v>
      </x:c>
      <x:c r="F16" s="16" t="str">
        <x:v>Bleaching earth</x:v>
      </x:c>
      <x:c r="G16" s="16" t="str">
        <x:v>Activated adsorbent / bleaching earth.</x:v>
      </x:c>
      <x:c r="H16" s="16" t="str">
        <x:v>Company describes own bentonite resources, production and international sales.</x:v>
      </x:c>
      <x:c r="I16" s="16" t="str">
        <x:v>Confirm acid type, filtration grade, oil retention and contaminant/certificate package.</x:v>
      </x:c>
      <x:c r="J16" s="16" t="str">
        <x:v>Website export-sales contact</x:v>
      </x:c>
      <x:c r="K16" s="21" t="str">
        <x:v>https://montera.com.tr/en/</x:v>
      </x:c>
      <x:c r="L16" s="11" t="str"/>
      <x:c r="M16" s="21" t="str">
        <x:v>https://montera.com.tr/en/corporate/</x:v>
      </x:c>
      <x:c r="N16" s="21" t="str"/>
      <x:c r="O16" s="16" t="str">
        <x:v>Company product listing</x:v>
      </x:c>
      <x:c r="P16" s="9" t="n">
        <x:v>0</x:v>
      </x:c>
      <x:c r="Q16" s="9" t="n">
        <x:v>0</x:v>
      </x:c>
      <x:c r="R16" s="9" t="n">
        <x:v>1</x:v>
      </x:c>
      <x:c r="S16" s="9" t="n">
        <x:v>0</x:v>
      </x:c>
    </x:row>
    <x:row r="17" ht="64" customHeight="1">
      <x:c r="A17" s="18" t="n">
        <x:v>12</x:v>
      </x:c>
      <x:c r="B17" s="19" t="str">
        <x:v>Bento Mineral Mining</x:v>
      </x:c>
      <x:c r="C17" s="20" t="str">
        <x:v>B</x:v>
      </x:c>
      <x:c r="D17" s="19" t="str">
        <x:v>Bleaching earth producer</x:v>
      </x:c>
      <x:c r="E17" s="19" t="str">
        <x:v>Turkey</x:v>
      </x:c>
      <x:c r="F17" s="19" t="str">
        <x:v>Bleaching earth</x:v>
      </x:c>
      <x:c r="G17" s="19" t="str">
        <x:v>Erenkol bleaching earth range.</x:v>
      </x:c>
      <x:c r="H17" s="19" t="str">
        <x:v>Dedicated bleaching-earth production company profile.</x:v>
      </x:c>
      <x:c r="I17" s="19" t="str">
        <x:v>Confirm edible-oil suitability by grade, current certificates, normal/fast filtration and landed price.</x:v>
      </x:c>
      <x:c r="J17" s="19" t="str">
        <x:v>Website commercial contact</x:v>
      </x:c>
      <x:c r="K17" s="22" t="str">
        <x:v>https://www.bentomadencilik.com/en/</x:v>
      </x:c>
      <x:c r="L17" s="11" t="str"/>
      <x:c r="M17" s="22" t="str">
        <x:v>https://www.bentomadencilik.com/en/about</x:v>
      </x:c>
      <x:c r="N17" s="22" t="str"/>
      <x:c r="O17" s="19" t="str">
        <x:v>Company product listing</x:v>
      </x:c>
      <x:c r="P17" s="9" t="n">
        <x:v>0</x:v>
      </x:c>
      <x:c r="Q17" s="9" t="n">
        <x:v>0</x:v>
      </x:c>
      <x:c r="R17" s="9" t="n">
        <x:v>1</x:v>
      </x:c>
      <x:c r="S17" s="9" t="n">
        <x:v>0</x:v>
      </x:c>
    </x:row>
    <x:row r="18" ht="64" customHeight="1">
      <x:c r="A18" s="15" t="n">
        <x:v>13</x:v>
      </x:c>
      <x:c r="B18" s="16" t="str">
        <x:v>Adaçal</x:v>
      </x:c>
      <x:c r="C18" s="17" t="str">
        <x:v>B</x:v>
      </x:c>
      <x:c r="D18" s="16" t="str">
        <x:v>Calcium carbonate producer</x:v>
      </x:c>
      <x:c r="E18" s="16" t="str">
        <x:v>Afyonkarahisar</x:v>
      </x:c>
      <x:c r="F18" s="16" t="str">
        <x:v>Calcium carbonate</x:v>
      </x:c>
      <x:c r="G18" s="16" t="str">
        <x:v>Precipitated calcium carbonate and calcite/GCC.</x:v>
      </x:c>
      <x:c r="H18" s="16" t="str">
        <x:v>Integrated product routes with technical laboratory support described.</x:v>
      </x:c>
      <x:c r="I18" s="16" t="str">
        <x:v>Quote PCC and GCC separately. Confirm morphology, PSD, coating and export packaging.</x:v>
      </x:c>
      <x:c r="J18" s="16" t="str">
        <x:v>info@adacal.com; +90 272 442 8320</x:v>
      </x:c>
      <x:c r="K18" s="21" t="str">
        <x:v>https://www.adacal.com.tr/</x:v>
      </x:c>
      <x:c r="L18" s="11" t="str"/>
      <x:c r="M18" s="21" t="str">
        <x:v>https://www.adacal.com.tr/pcc/</x:v>
      </x:c>
      <x:c r="N18" s="21" t="str">
        <x:v>https://www.adacal.com.tr/kalsit/</x:v>
      </x:c>
      <x:c r="O18" s="16" t="str">
        <x:v>Company product listing</x:v>
      </x:c>
      <x:c r="P18" s="9" t="n">
        <x:v>0</x:v>
      </x:c>
      <x:c r="Q18" s="9" t="n">
        <x:v>0</x:v>
      </x:c>
      <x:c r="R18" s="9" t="n">
        <x:v>0</x:v>
      </x:c>
      <x:c r="S18" s="9" t="n">
        <x:v>1</x:v>
      </x:c>
    </x:row>
    <x:row r="19" ht="64" customHeight="1">
      <x:c r="A19" s="18" t="n">
        <x:v>14</x:v>
      </x:c>
      <x:c r="B19" s="19" t="str">
        <x:v>Erciyes Mikron — KTKS group</x:v>
      </x:c>
      <x:c r="C19" s="20" t="str">
        <x:v>B</x:v>
      </x:c>
      <x:c r="D19" s="19" t="str">
        <x:v>Mineral processor</x:v>
      </x:c>
      <x:c r="E19" s="19" t="str">
        <x:v>Turkey; dispatch plant to confirm</x:v>
      </x:c>
      <x:c r="F19" s="19" t="str">
        <x:v>Calcium carbonate</x:v>
      </x:c>
      <x:c r="G19" s="19" t="str">
        <x:v>Micronized calcium carbonate.</x:v>
      </x:c>
      <x:c r="H19" s="19" t="str">
        <x:v>Dedicated group micronizing facility with technical commercial contact.</x:v>
      </x:c>
      <x:c r="I19" s="19" t="str">
        <x:v>Confirm grade, source, available tonnage and Netherlands shipment terms.</x:v>
      </x:c>
      <x:c r="J19" s="19" t="str">
        <x:v>info@erciyesmikron.com.tr</x:v>
      </x:c>
      <x:c r="K19" s="22" t="str">
        <x:v>https://erciyeskirec.com/en/</x:v>
      </x:c>
      <x:c r="L19" s="11" t="str"/>
      <x:c r="M19" s="22" t="str">
        <x:v>https://erciyeskirec.com/en/our-facilities/erciyes-mikron/</x:v>
      </x:c>
      <x:c r="N19" s="22" t="str"/>
      <x:c r="O19" s="19" t="str">
        <x:v>Company product listing</x:v>
      </x:c>
      <x:c r="P19" s="9" t="n">
        <x:v>0</x:v>
      </x:c>
      <x:c r="Q19" s="9" t="n">
        <x:v>0</x:v>
      </x:c>
      <x:c r="R19" s="9" t="n">
        <x:v>0</x:v>
      </x:c>
      <x:c r="S19" s="9" t="n">
        <x:v>1</x:v>
      </x:c>
    </x:row>
    <x:row r="20" ht="64" customHeight="1">
      <x:c r="A20" s="15" t="n">
        <x:v>15</x:v>
      </x:c>
      <x:c r="B20" s="16" t="str">
        <x:v>Anadolu Mikronize</x:v>
      </x:c>
      <x:c r="C20" s="17" t="str">
        <x:v>B</x:v>
      </x:c>
      <x:c r="D20" s="16" t="str">
        <x:v>Miner / processor</x:v>
      </x:c>
      <x:c r="E20" s="16" t="str">
        <x:v>Niğde / Aksaray resources</x:v>
      </x:c>
      <x:c r="F20" s="16" t="str">
        <x:v>Calcium carbonate</x:v>
      </x:c>
      <x:c r="G20" s="16" t="str">
        <x:v>Micronized calcium carbonate grades.</x:v>
      </x:c>
      <x:c r="H20" s="16" t="str">
        <x:v>Company describes licensed resources and customised industrial products.</x:v>
      </x:c>
      <x:c r="I20" s="16" t="str">
        <x:v>Verify exact plant, grade control, coating options and export allocation.</x:v>
      </x:c>
      <x:c r="J20" s="16" t="str">
        <x:v>Website commercial contact</x:v>
      </x:c>
      <x:c r="K20" s="21" t="str">
        <x:v>https://anadolumikronize.com.tr/</x:v>
      </x:c>
      <x:c r="L20" s="11" t="str"/>
      <x:c r="M20" s="21" t="str">
        <x:v>https://anadolumikronize.com.tr/</x:v>
      </x:c>
      <x:c r="N20" s="21" t="str"/>
      <x:c r="O20" s="16" t="str">
        <x:v>Company product listing</x:v>
      </x:c>
      <x:c r="P20" s="9" t="n">
        <x:v>0</x:v>
      </x:c>
      <x:c r="Q20" s="9" t="n">
        <x:v>0</x:v>
      </x:c>
      <x:c r="R20" s="9" t="n">
        <x:v>0</x:v>
      </x:c>
      <x:c r="S20" s="9" t="n">
        <x:v>1</x:v>
      </x:c>
    </x:row>
    <x:row r="21" ht="64" customHeight="1">
      <x:c r="A21" s="18" t="n">
        <x:v>16</x:v>
      </x:c>
      <x:c r="B21" s="19" t="str">
        <x:v>Ortadoğu Mineral</x:v>
      </x:c>
      <x:c r="C21" s="20" t="str">
        <x:v>B</x:v>
      </x:c>
      <x:c r="D21" s="19" t="str">
        <x:v>Bentonite processor / technical supplier</x:v>
      </x:c>
      <x:c r="E21" s="19" t="str">
        <x:v>Turkey</x:v>
      </x:c>
      <x:c r="F21" s="19" t="str">
        <x:v>Bentonite</x:v>
      </x:c>
      <x:c r="G21" s="19" t="str">
        <x:v>Foundry bentonite and bentonite/coal blends.</x:v>
      </x:c>
      <x:c r="H21" s="19" t="str">
        <x:v>Company offers foundry sand-system and application support alongside materials.</x:v>
      </x:c>
      <x:c r="I21" s="19" t="str">
        <x:v>Specify unblended mineral versus prepared blend. Confirm thermal durability and green strength.</x:v>
      </x:c>
      <x:c r="J21" s="19" t="str">
        <x:v>Website sales contact</x:v>
      </x:c>
      <x:c r="K21" s="22" t="str">
        <x:v>https://www.ortadogumineral.com/</x:v>
      </x:c>
      <x:c r="L21" s="11" t="str"/>
      <x:c r="M21" s="22" t="str">
        <x:v>https://www.ortadogumineral.com/page/company-profile/1/about-us</x:v>
      </x:c>
      <x:c r="N21" s="22" t="str"/>
      <x:c r="O21" s="19" t="str">
        <x:v>Company product listing</x:v>
      </x:c>
      <x:c r="P21" s="9" t="n">
        <x:v>1</x:v>
      </x:c>
      <x:c r="Q21" s="9" t="n">
        <x:v>0</x:v>
      </x:c>
      <x:c r="R21" s="9" t="n">
        <x:v>0</x:v>
      </x:c>
      <x:c r="S21" s="9" t="n">
        <x:v>0</x:v>
      </x:c>
    </x:row>
    <x:row r="22" ht="64" customHeight="1">
      <x:c r="A22" s="15" t="n">
        <x:v>17</x:v>
      </x:c>
      <x:c r="B22" s="16" t="str">
        <x:v>Geoclay</x:v>
      </x:c>
      <x:c r="C22" s="17" t="str">
        <x:v>B</x:v>
      </x:c>
      <x:c r="D22" s="16" t="str">
        <x:v>Bentonite producer / supplier</x:v>
      </x:c>
      <x:c r="E22" s="16" t="str">
        <x:v>Turkey</x:v>
      </x:c>
      <x:c r="F22" s="16" t="str">
        <x:v>Bentonite</x:v>
      </x:c>
      <x:c r="G22" s="16" t="str">
        <x:v>Foundry, drilling and GCL-related bentonite range.</x:v>
      </x:c>
      <x:c r="H22" s="16" t="str">
        <x:v>Application-specific catalogue with R&amp;D positioning.</x:v>
      </x:c>
      <x:c r="I22" s="16" t="str">
        <x:v>Request plant identity, current test reports and export references.</x:v>
      </x:c>
      <x:c r="J22" s="16" t="str">
        <x:v>Website commercial contact</x:v>
      </x:c>
      <x:c r="K22" s="21" t="str">
        <x:v>https://www.geoclay.com.tr/en</x:v>
      </x:c>
      <x:c r="L22" s="11" t="str"/>
      <x:c r="M22" s="21" t="str">
        <x:v>https://www.geoclay.com.tr/en</x:v>
      </x:c>
      <x:c r="N22" s="21" t="str"/>
      <x:c r="O22" s="16" t="str">
        <x:v>Company product listing</x:v>
      </x:c>
      <x:c r="P22" s="9" t="n">
        <x:v>1</x:v>
      </x:c>
      <x:c r="Q22" s="9" t="n">
        <x:v>0</x:v>
      </x:c>
      <x:c r="R22" s="9" t="n">
        <x:v>0</x:v>
      </x:c>
      <x:c r="S22" s="9" t="n">
        <x:v>0</x:v>
      </x:c>
    </x:row>
    <x:row r="23" ht="64" customHeight="1">
      <x:c r="A23" s="18" t="n">
        <x:v>18</x:v>
      </x:c>
      <x:c r="B23" s="19" t="str">
        <x:v>Ceylan Mineral</x:v>
      </x:c>
      <x:c r="C23" s="20" t="str">
        <x:v>B</x:v>
      </x:c>
      <x:c r="D23" s="19" t="str">
        <x:v>Bentonite miner / processor</x:v>
      </x:c>
      <x:c r="E23" s="19" t="str">
        <x:v>Çankırı / Tüney region</x:v>
      </x:c>
      <x:c r="F23" s="19" t="str">
        <x:v>Bentonite</x:v>
      </x:c>
      <x:c r="G23" s="19" t="str">
        <x:v>Bentonite for drilling, foundry and GCL enquiries.</x:v>
      </x:c>
      <x:c r="H23" s="19" t="str">
        <x:v>Company describes mineral-resource and processing focus.</x:v>
      </x:c>
      <x:c r="I23" s="19" t="str">
        <x:v>Confirm grade specifications, activation, supply allocation and EU dispatch experience.</x:v>
      </x:c>
      <x:c r="J23" s="19" t="str">
        <x:v>Website commercial contact</x:v>
      </x:c>
      <x:c r="K23" s="22" t="str">
        <x:v>https://ceylanmineral.com/</x:v>
      </x:c>
      <x:c r="L23" s="11" t="str"/>
      <x:c r="M23" s="22" t="str">
        <x:v>https://ceylanmineral.com/vision-mission</x:v>
      </x:c>
      <x:c r="N23" s="22" t="str"/>
      <x:c r="O23" s="19" t="str">
        <x:v>Company product listing</x:v>
      </x:c>
      <x:c r="P23" s="9" t="n">
        <x:v>1</x:v>
      </x:c>
      <x:c r="Q23" s="9" t="n">
        <x:v>0</x:v>
      </x:c>
      <x:c r="R23" s="9" t="n">
        <x:v>0</x:v>
      </x:c>
      <x:c r="S23" s="9" t="n">
        <x:v>0</x:v>
      </x:c>
    </x:row>
    <x:row r="24" ht="64" customHeight="1">
      <x:c r="A24" s="15" t="n">
        <x:v>19</x:v>
      </x:c>
      <x:c r="B24" s="16" t="str">
        <x:v>Beta Bentonit</x:v>
      </x:c>
      <x:c r="C24" s="17" t="str">
        <x:v>B</x:v>
      </x:c>
      <x:c r="D24" s="16" t="str">
        <x:v>Bentonite producer</x:v>
      </x:c>
      <x:c r="E24" s="16" t="str">
        <x:v>Çankırı</x:v>
      </x:c>
      <x:c r="F24" s="16" t="str">
        <x:v>Bentonite</x:v>
      </x:c>
      <x:c r="G24" s="16" t="str">
        <x:v>Foundry, drilling and construction bentonite.</x:v>
      </x:c>
      <x:c r="H24" s="16" t="str">
        <x:v>Dedicated plant and product families. Company describes after-sales product follow-up.</x:v>
      </x:c>
      <x:c r="I24" s="16" t="str">
        <x:v>Request current certificate and grade data. Historical ISO references do not establish present validity.</x:v>
      </x:c>
      <x:c r="J24" s="16" t="str">
        <x:v>betabentonit18@gmail.com; +90 376 213 2629</x:v>
      </x:c>
      <x:c r="K24" s="21" t="str">
        <x:v>https://betabentonit.com.tr/</x:v>
      </x:c>
      <x:c r="L24" s="11" t="str"/>
      <x:c r="M24" s="21" t="str">
        <x:v>https://betabentonit.com.tr/hakkimizda/</x:v>
      </x:c>
      <x:c r="N24" s="21" t="str"/>
      <x:c r="O24" s="16" t="str">
        <x:v>Company product listing</x:v>
      </x:c>
      <x:c r="P24" s="9" t="n">
        <x:v>1</x:v>
      </x:c>
      <x:c r="Q24" s="9" t="n">
        <x:v>0</x:v>
      </x:c>
      <x:c r="R24" s="9" t="n">
        <x:v>0</x:v>
      </x:c>
      <x:c r="S24" s="9" t="n">
        <x:v>0</x:v>
      </x:c>
    </x:row>
    <x:row r="25" ht="64" customHeight="1">
      <x:c r="A25" s="18" t="n">
        <x:v>20</x:v>
      </x:c>
      <x:c r="B25" s="19" t="str">
        <x:v>Duman Madencilik</x:v>
      </x:c>
      <x:c r="C25" s="20" t="str">
        <x:v>B</x:v>
      </x:c>
      <x:c r="D25" s="19" t="str">
        <x:v>Mineral producer / exporter</x:v>
      </x:c>
      <x:c r="E25" s="19" t="str">
        <x:v>Turkey</x:v>
      </x:c>
      <x:c r="F25" s="19" t="str">
        <x:v>Bentonite; Calcium carbonate</x:v>
      </x:c>
      <x:c r="G25" s="19" t="str">
        <x:v>Bentonite and calcium carbonate sourcing routes.</x:v>
      </x:c>
      <x:c r="H25" s="19" t="str">
        <x:v>Company presents industrial mineral production and export activity.</x:v>
      </x:c>
      <x:c r="I25" s="19" t="str">
        <x:v>Confirm owned versus sourced grades, application results and repeatable export packing.</x:v>
      </x:c>
      <x:c r="J25" s="19" t="str">
        <x:v>Website international sales contact</x:v>
      </x:c>
      <x:c r="K25" s="22" t="str">
        <x:v>https://dumanmadencilik.com/</x:v>
      </x:c>
      <x:c r="L25" s="11" t="str"/>
      <x:c r="M25" s="22" t="str">
        <x:v>https://www.dumanmadencilik.com/bentonite.html</x:v>
      </x:c>
      <x:c r="N25" s="22" t="str">
        <x:v>https://dumanmadencilik.com/</x:v>
      </x:c>
      <x:c r="O25" s="19" t="str">
        <x:v>Company product listing</x:v>
      </x:c>
      <x:c r="P25" s="9" t="n">
        <x:v>1</x:v>
      </x:c>
      <x:c r="Q25" s="9" t="n">
        <x:v>0</x:v>
      </x:c>
      <x:c r="R25" s="9" t="n">
        <x:v>0</x:v>
      </x:c>
      <x:c r="S25" s="9" t="n">
        <x:v>1</x:v>
      </x:c>
    </x:row>
    <x:row r="26" ht="64" customHeight="1">
      <x:c r="A26" s="15" t="n">
        <x:v>21</x:v>
      </x:c>
      <x:c r="B26" s="16" t="str">
        <x:v>Kaolin Endüstriyel Mineraller — Quarzwerke group</x:v>
      </x:c>
      <x:c r="C26" s="17" t="str">
        <x:v>B</x:v>
      </x:c>
      <x:c r="D26" s="16" t="str">
        <x:v>Group distributor / supplier</x:v>
      </x:c>
      <x:c r="E26" s="16" t="str">
        <x:v>İstanbul office / Turkish sales operation</x:v>
      </x:c>
      <x:c r="F26" s="16" t="str">
        <x:v>Kaolin</x:v>
      </x:c>
      <x:c r="G26" s="16" t="str">
        <x:v>Hydrous and calcined kaolin for ceramics, paper and coatings.</x:v>
      </x:c>
      <x:c r="H26" s="16" t="str">
        <x:v>Established Turkish group operation with technical education and sales contact.</x:v>
      </x:c>
      <x:c r="I26" s="16" t="str">
        <x:v>Turkish seller does not mean Turkish mine. Confirm origin/dispatch and compare direct group supply into EU.</x:v>
      </x:c>
      <x:c r="J26" s="16" t="str">
        <x:v>info@kaolin.com.tr; +90 216 455 2312</x:v>
      </x:c>
      <x:c r="K26" s="21" t="str">
        <x:v>https://www.kaolin.com.tr/</x:v>
      </x:c>
      <x:c r="L26" s="11" t="str"/>
      <x:c r="M26" s="21" t="str">
        <x:v>https://www.kaolin.com.tr/</x:v>
      </x:c>
      <x:c r="N26" s="21" t="str"/>
      <x:c r="O26" s="16" t="str">
        <x:v>Company product listing</x:v>
      </x:c>
      <x:c r="P26" s="9" t="n">
        <x:v>0</x:v>
      </x:c>
      <x:c r="Q26" s="9" t="n">
        <x:v>1</x:v>
      </x:c>
      <x:c r="R26" s="9" t="n">
        <x:v>0</x:v>
      </x:c>
      <x:c r="S26" s="9" t="n">
        <x:v>0</x:v>
      </x:c>
    </x:row>
    <x:row r="27" ht="64" customHeight="1">
      <x:c r="A27" s="18" t="n">
        <x:v>22</x:v>
      </x:c>
      <x:c r="B27" s="19" t="str">
        <x:v>Matel Hammadde</x:v>
      </x:c>
      <x:c r="C27" s="20" t="str">
        <x:v>B</x:v>
      </x:c>
      <x:c r="D27" s="19" t="str">
        <x:v>Miner / ceramic raw-material processor</x:v>
      </x:c>
      <x:c r="E27" s="19" t="str">
        <x:v>Balıkesir kaolin site; Turkish processing network</x:v>
      </x:c>
      <x:c r="F27" s="19" t="str">
        <x:v>Kaolin</x:v>
      </x:c>
      <x:c r="G27" s="19" t="str">
        <x:v>Ceramic kaolin; exact current grade list to obtain.</x:v>
      </x:c>
      <x:c r="H27" s="19" t="str">
        <x:v>Company site identifies production/R&amp;D. Mining association documents its kaolin facilities.</x:v>
      </x:c>
      <x:c r="I27" s="19" t="str">
        <x:v>Request current kaolin availability, TDS and dispatch plant. Facility evidence includes older documents.</x:v>
      </x:c>
      <x:c r="J27" s="19" t="str">
        <x:v>Website commercial enquiry</x:v>
      </x:c>
      <x:c r="K27" s="22" t="str">
        <x:v>https://matel.com.tr/en/</x:v>
      </x:c>
      <x:c r="L27" s="11" t="str"/>
      <x:c r="M27" s="22" t="str">
        <x:v>https://matel.com.tr/en/</x:v>
      </x:c>
      <x:c r="N27" s="22" t="str">
        <x:v>https://minedocs.com/22/Miners-Association-of-Turkey-2020.pdf</x:v>
      </x:c>
      <x:c r="O27" s="19" t="str">
        <x:v>Current company site + historical association facility record</x:v>
      </x:c>
      <x:c r="P27" s="9" t="n">
        <x:v>0</x:v>
      </x:c>
      <x:c r="Q27" s="9" t="n">
        <x:v>1</x:v>
      </x:c>
      <x:c r="R27" s="9" t="n">
        <x:v>0</x:v>
      </x:c>
      <x:c r="S27" s="9" t="n">
        <x:v>0</x:v>
      </x:c>
    </x:row>
    <x:row r="28" ht="64" customHeight="1">
      <x:c r="A28" s="15" t="n">
        <x:v>23</x:v>
      </x:c>
      <x:c r="B28" s="16" t="str">
        <x:v>FF Mining &amp; Minerals — Tana Metal</x:v>
      </x:c>
      <x:c r="C28" s="17" t="str">
        <x:v>B</x:v>
      </x:c>
      <x:c r="D28" s="16" t="str">
        <x:v>Mineral processor / supplier</x:v>
      </x:c>
      <x:c r="E28" s="16" t="str">
        <x:v>Bakırköy, İstanbul office</x:v>
      </x:c>
      <x:c r="F28" s="16" t="str">
        <x:v>Kaolin</x:v>
      </x:c>
      <x:c r="G28" s="16" t="str">
        <x:v>Noodled and micronized kaolin with grade codes and fired-whiteness values.</x:v>
      </x:c>
      <x:c r="H28" s="16" t="str">
        <x:v>Publishes washing, separation, processing, storage/transport cycle and a technical sheet.</x:v>
      </x:c>
      <x:c r="I28" s="16" t="str">
        <x:v>Confirm actual plant/origin, PSD and brightness test basis. Some website sections remain unfinished.</x:v>
      </x:c>
      <x:c r="J28" s="16" t="str">
        <x:v>+90 533 560 4359; website contact</x:v>
      </x:c>
      <x:c r="K28" s="21" t="str">
        <x:v>https://www.tanamine.com/</x:v>
      </x:c>
      <x:c r="L28" s="11" t="str"/>
      <x:c r="M28" s="21" t="str">
        <x:v>https://www.tanamine.com/</x:v>
      </x:c>
      <x:c r="N28" s="21" t="str"/>
      <x:c r="O28" s="16" t="str">
        <x:v>Company product listing</x:v>
      </x:c>
      <x:c r="P28" s="9" t="n">
        <x:v>0</x:v>
      </x:c>
      <x:c r="Q28" s="9" t="n">
        <x:v>1</x:v>
      </x:c>
      <x:c r="R28" s="9" t="n">
        <x:v>0</x:v>
      </x:c>
      <x:c r="S28" s="9" t="n">
        <x:v>0</x:v>
      </x:c>
    </x:row>
    <x:row r="29" ht="64" customHeight="1">
      <x:c r="A29" s="18" t="n">
        <x:v>24</x:v>
      </x:c>
      <x:c r="B29" s="19" t="str">
        <x:v>Pero Kimya / Pero Minerals</x:v>
      </x:c>
      <x:c r="C29" s="20" t="str">
        <x:v>B</x:v>
      </x:c>
      <x:c r="D29" s="19" t="str">
        <x:v>Industrial mineral distributor</x:v>
      </x:c>
      <x:c r="E29" s="19" t="str">
        <x:v>Turkey</x:v>
      </x:c>
      <x:c r="F29" s="19" t="str">
        <x:v>Bentonite; Kaolin; Calcium carbonate</x:v>
      </x:c>
      <x:c r="G29" s="19" t="str">
        <x:v>Multi-mineral portfolio for industrial sourcing.</x:v>
      </x:c>
      <x:c r="H29" s="19" t="str">
        <x:v>Product catalogue and established chemical/mineral distribution route.</x:v>
      </x:c>
      <x:c r="I29" s="19" t="str">
        <x:v>Confirm which grades are stocked, source countries, origin documents and re-sale economics.</x:v>
      </x:c>
      <x:c r="J29" s="19" t="str">
        <x:v>info@pero.com.tr; +90 216 327 7113</x:v>
      </x:c>
      <x:c r="K29" s="22" t="str">
        <x:v>https://www.pero.com.tr/</x:v>
      </x:c>
      <x:c r="L29" s="11" t="str"/>
      <x:c r="M29" s="22" t="str">
        <x:v>https://www.pero.com.tr/products-d/</x:v>
      </x:c>
      <x:c r="N29" s="22" t="str"/>
      <x:c r="O29" s="19" t="str">
        <x:v>Company product listing</x:v>
      </x:c>
      <x:c r="P29" s="9" t="n">
        <x:v>1</x:v>
      </x:c>
      <x:c r="Q29" s="9" t="n">
        <x:v>1</x:v>
      </x:c>
      <x:c r="R29" s="9" t="n">
        <x:v>0</x:v>
      </x:c>
      <x:c r="S29" s="9" t="n">
        <x:v>1</x:v>
      </x:c>
    </x:row>
    <x:row r="30" ht="64" customHeight="1">
      <x:c r="A30" s="15" t="n">
        <x:v>25</x:v>
      </x:c>
      <x:c r="B30" s="16" t="str">
        <x:v>Kimteks</x:v>
      </x:c>
      <x:c r="C30" s="17" t="str">
        <x:v>B</x:v>
      </x:c>
      <x:c r="D30" s="16" t="str">
        <x:v>Industrial chemical distributor</x:v>
      </x:c>
      <x:c r="E30" s="16" t="str">
        <x:v>Dudullu, İstanbul; Ankara office</x:v>
      </x:c>
      <x:c r="F30" s="16" t="str">
        <x:v>Calcium carbonate</x:v>
      </x:c>
      <x:c r="G30" s="16" t="str">
        <x:v>Omya calcium carbonate grades documented in product technical sheets.</x:v>
      </x:c>
      <x:c r="H30" s="16" t="str">
        <x:v>Company offers formulation support, import/export and before/after-sales assistance.</x:v>
      </x:c>
      <x:c r="I30" s="16" t="str">
        <x:v>Confirm current Omya range, re-export rights and whether direct producer pricing is better.</x:v>
      </x:c>
      <x:c r="J30" s="16" t="str">
        <x:v>info@kimteks.org; +90 216 313 6480</x:v>
      </x:c>
      <x:c r="K30" s="21" t="str">
        <x:v>https://www.kimteks.org/en/</x:v>
      </x:c>
      <x:c r="L30" s="11" t="str"/>
      <x:c r="M30" s="21" t="str">
        <x:v>https://www.kimteks.org/en/wp-content/uploads/2020/11/Omyacarb%C2%AE-%E2%80%93-KA-GRANUL-SERISI-_-TR.pdf</x:v>
      </x:c>
      <x:c r="N30" s="21" t="str">
        <x:v>https://www.kimteks.org/en/</x:v>
      </x:c>
      <x:c r="O30" s="16" t="str">
        <x:v>Company product listing</x:v>
      </x:c>
      <x:c r="P30" s="9" t="n">
        <x:v>0</x:v>
      </x:c>
      <x:c r="Q30" s="9" t="n">
        <x:v>0</x:v>
      </x:c>
      <x:c r="R30" s="9" t="n">
        <x:v>0</x:v>
      </x:c>
      <x:c r="S30" s="9" t="n">
        <x:v>1</x:v>
      </x:c>
    </x:row>
    <x:row r="31" ht="64" customHeight="1">
      <x:c r="A31" s="18" t="n">
        <x:v>26</x:v>
      </x:c>
      <x:c r="B31" s="19" t="str">
        <x:v>Akhisar Kalsiyum</x:v>
      </x:c>
      <x:c r="C31" s="20" t="str">
        <x:v>B</x:v>
      </x:c>
      <x:c r="D31" s="19" t="str">
        <x:v>Calcium carbonate processor</x:v>
      </x:c>
      <x:c r="E31" s="19" t="str">
        <x:v>Akhisar</x:v>
      </x:c>
      <x:c r="F31" s="19" t="str">
        <x:v>Calcium carbonate</x:v>
      </x:c>
      <x:c r="G31" s="19" t="str">
        <x:v>Micronized calcium carbonate.</x:v>
      </x:c>
      <x:c r="H31" s="19" t="str">
        <x:v>Dedicated carbonate production/sales route.</x:v>
      </x:c>
      <x:c r="I31" s="19" t="str">
        <x:v>Confirm grades, laboratory evidence, export capacity and packing.</x:v>
      </x:c>
      <x:c r="J31" s="19" t="str">
        <x:v>Website commercial enquiry</x:v>
      </x:c>
      <x:c r="K31" s="22" t="str">
        <x:v>https://akhisarkalsiyum.com/</x:v>
      </x:c>
      <x:c r="L31" s="11" t="str"/>
      <x:c r="M31" s="22" t="str">
        <x:v>https://akhisarkalsiyum.com/</x:v>
      </x:c>
      <x:c r="N31" s="22" t="str"/>
      <x:c r="O31" s="19" t="str">
        <x:v>Company product listing</x:v>
      </x:c>
      <x:c r="P31" s="9" t="n">
        <x:v>0</x:v>
      </x:c>
      <x:c r="Q31" s="9" t="n">
        <x:v>0</x:v>
      </x:c>
      <x:c r="R31" s="9" t="n">
        <x:v>0</x:v>
      </x:c>
      <x:c r="S31" s="9" t="n">
        <x:v>1</x:v>
      </x:c>
    </x:row>
    <x:row r="32" ht="64" customHeight="1">
      <x:c r="A32" s="15" t="n">
        <x:v>27</x:v>
      </x:c>
      <x:c r="B32" s="16" t="str">
        <x:v>Vişne Madencilik</x:v>
      </x:c>
      <x:c r="C32" s="17" t="str">
        <x:v>B</x:v>
      </x:c>
      <x:c r="D32" s="16" t="str">
        <x:v>Miner / processor</x:v>
      </x:c>
      <x:c r="E32" s="16" t="str">
        <x:v>Turkey</x:v>
      </x:c>
      <x:c r="F32" s="16" t="str">
        <x:v>Calcium carbonate</x:v>
      </x:c>
      <x:c r="G32" s="16" t="str">
        <x:v>Natural calcium carbonate/limestone, alongside lime products.</x:v>
      </x:c>
      <x:c r="H32" s="16" t="str">
        <x:v>Producer publishes mineral product routes.</x:v>
      </x:c>
      <x:c r="I32" s="16" t="str">
        <x:v>Specify CaCO3, not quicklime/hydrate. Confirm micronization, whiteness and export shipment.</x:v>
      </x:c>
      <x:c r="J32" s="16" t="str">
        <x:v>Website sales contact</x:v>
      </x:c>
      <x:c r="K32" s="21" t="str">
        <x:v>https://www.visnemadencilik.com/</x:v>
      </x:c>
      <x:c r="L32" s="11" t="str"/>
      <x:c r="M32" s="21" t="str">
        <x:v>https://www.visnemadencilik.com/es</x:v>
      </x:c>
      <x:c r="N32" s="21" t="str"/>
      <x:c r="O32" s="16" t="str">
        <x:v>Company product listing</x:v>
      </x:c>
      <x:c r="P32" s="9" t="n">
        <x:v>0</x:v>
      </x:c>
      <x:c r="Q32" s="9" t="n">
        <x:v>0</x:v>
      </x:c>
      <x:c r="R32" s="9" t="n">
        <x:v>0</x:v>
      </x:c>
      <x:c r="S32" s="9" t="n">
        <x:v>1</x:v>
      </x:c>
    </x:row>
    <x:row r="33" ht="64" customHeight="1">
      <x:c r="A33" s="18" t="n">
        <x:v>28</x:v>
      </x:c>
      <x:c r="B33" s="19" t="str">
        <x:v>Unimicron Turkey</x:v>
      </x:c>
      <x:c r="C33" s="20" t="str">
        <x:v>B</x:v>
      </x:c>
      <x:c r="D33" s="19" t="str">
        <x:v>Bentonite processor / exporter</x:v>
      </x:c>
      <x:c r="E33" s="19" t="str">
        <x:v>Ünye, Ordu</x:v>
      </x:c>
      <x:c r="F33" s="19" t="str">
        <x:v>Bentonite</x:v>
      </x:c>
      <x:c r="G33" s="19" t="str">
        <x:v>White bentonite powder and crude-to-finished forms.</x:v>
      </x:c>
      <x:c r="H33" s="19" t="str">
        <x:v>Company identifies nearby mines and bentonite exports.</x:v>
      </x:c>
      <x:c r="I33" s="19" t="str">
        <x:v>Published focus is ceramics/absorbents and other uses. Confirm target drilling/foundry/GCL grade and mine ownership.</x:v>
      </x:c>
      <x:c r="J33" s="19" t="str">
        <x:v>info@unimicronturkey.com; +90 452 324 2229</x:v>
      </x:c>
      <x:c r="K33" s="22" t="str">
        <x:v>https://www.unimicronturkey.com/</x:v>
      </x:c>
      <x:c r="L33" s="11" t="str"/>
      <x:c r="M33" s="22" t="str">
        <x:v>https://www.unimicronturkey.com/</x:v>
      </x:c>
      <x:c r="N33" s="22" t="str"/>
      <x:c r="O33" s="19" t="str">
        <x:v>Company product listing</x:v>
      </x:c>
      <x:c r="P33" s="9" t="n">
        <x:v>1</x:v>
      </x:c>
      <x:c r="Q33" s="9" t="n">
        <x:v>0</x:v>
      </x:c>
      <x:c r="R33" s="9" t="n">
        <x:v>0</x:v>
      </x:c>
      <x:c r="S33" s="9" t="n">
        <x:v>0</x:v>
      </x:c>
    </x:row>
    <x:row r="34" ht="64" customHeight="1">
      <x:c r="A34" s="15" t="n">
        <x:v>29</x:v>
      </x:c>
      <x:c r="B34" s="16" t="str">
        <x:v>YC Bentonite</x:v>
      </x:c>
      <x:c r="C34" s="17" t="str">
        <x:v>C</x:v>
      </x:c>
      <x:c r="D34" s="16" t="str">
        <x:v>Bentonite miner / processor</x:v>
      </x:c>
      <x:c r="E34" s="16" t="str">
        <x:v>Ordu / Ünye region</x:v>
      </x:c>
      <x:c r="F34" s="16" t="str">
        <x:v>Bentonite</x:v>
      </x:c>
      <x:c r="G34" s="16" t="str">
        <x:v>Bentonite from Turkish mine sites; target industrial grades to confirm.</x:v>
      </x:c>
      <x:c r="H34" s="16" t="str">
        <x:v>Company describes its mine sites and proximity to Black Sea ports.</x:v>
      </x:c>
      <x:c r="I34" s="16" t="str">
        <x:v>Check raw industrial powder availability versus cat-litter products. Obtain application test data.</x:v>
      </x:c>
      <x:c r="J34" s="16" t="str">
        <x:v>Website commercial contact</x:v>
      </x:c>
      <x:c r="K34" s="21" t="str">
        <x:v>https://ycbentonite.com/en/</x:v>
      </x:c>
      <x:c r="L34" s="11" t="str"/>
      <x:c r="M34" s="21" t="str">
        <x:v>https://ycbentonite.com/en/mine-sites/</x:v>
      </x:c>
      <x:c r="N34" s="21" t="str"/>
      <x:c r="O34" s="16" t="str">
        <x:v>Company product listing</x:v>
      </x:c>
      <x:c r="P34" s="9" t="n">
        <x:v>1</x:v>
      </x:c>
      <x:c r="Q34" s="9" t="n">
        <x:v>0</x:v>
      </x:c>
      <x:c r="R34" s="9" t="n">
        <x:v>0</x:v>
      </x:c>
      <x:c r="S34" s="9" t="n">
        <x:v>0</x:v>
      </x:c>
    </x:row>
    <x:row r="35" ht="64" customHeight="1">
      <x:c r="A35" s="18" t="n">
        <x:v>30</x:v>
      </x:c>
      <x:c r="B35" s="19" t="str">
        <x:v>Bentaş Bentonit</x:v>
      </x:c>
      <x:c r="C35" s="20" t="str">
        <x:v>C</x:v>
      </x:c>
      <x:c r="D35" s="19" t="str">
        <x:v>Bentonite processor / exporter</x:v>
      </x:c>
      <x:c r="E35" s="19" t="str">
        <x:v>Turkey</x:v>
      </x:c>
      <x:c r="F35" s="19" t="str">
        <x:v>Bentonite</x:v>
      </x:c>
      <x:c r="G35" s="19" t="str">
        <x:v>Bentonite-based cat litter / absorbent production.</x:v>
      </x:c>
      <x:c r="H35" s="19" t="str">
        <x:v>Company reports international sales and established processing.</x:v>
      </x:c>
      <x:c r="I35" s="19" t="str">
        <x:v>Low direct fit unless it sells unmodified industrial grades. Do not assume drilling/foundry/GCL suitability.</x:v>
      </x:c>
      <x:c r="J35" s="19" t="str">
        <x:v>Website commercial contact</x:v>
      </x:c>
      <x:c r="K35" s="22" t="str">
        <x:v>https://bentasbentonit.com/</x:v>
      </x:c>
      <x:c r="L35" s="11" t="str"/>
      <x:c r="M35" s="22" t="str">
        <x:v>https://bentasbentonit.com/tr/ceo/</x:v>
      </x:c>
      <x:c r="N35" s="22" t="str"/>
      <x:c r="O35" s="19" t="str">
        <x:v>Company product listing</x:v>
      </x:c>
      <x:c r="P35" s="9" t="n">
        <x:v>1</x:v>
      </x:c>
      <x:c r="Q35" s="9" t="n">
        <x:v>0</x:v>
      </x:c>
      <x:c r="R35" s="9" t="n">
        <x:v>0</x:v>
      </x:c>
      <x:c r="S35" s="9" t="n">
        <x:v>0</x:v>
      </x:c>
    </x:row>
  </x:sheetData>
  <x:conditionalFormatting sqref="C6:C35">
    <x:cfRule type="containsText" dxfId="3" priority="1" operator="containsText" text="C"/>
  </x:conditionalFormatting>
  <x:pageMargins left="0.7" right="0.7" top="0.75" bottom="0.75" header="0.3" footer="0.3"/>
  <x:tableParts count="1">
    <x:tablePart xmlns:r="http://schemas.openxmlformats.org/officeDocument/2006/relationships" r:id="Re967cada90b9472c"/>
  </x:tableParts>
</x:worksheet>
</file>